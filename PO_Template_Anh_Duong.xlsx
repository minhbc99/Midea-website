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aptop K1\Desktop\"/>
    </mc:Choice>
  </mc:AlternateContent>
  <xr:revisionPtr revIDLastSave="0" documentId="8_{5107C907-CCCA-4727-80A7-25FB49ADBEB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实际" sheetId="1" state="hidden" r:id="rId1"/>
    <sheet name="订单" sheetId="3" r:id="rId2"/>
    <sheet name="Sheet1" sheetId="2" state="hidden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H19" i="3"/>
  <c r="H18" i="3" l="1"/>
  <c r="H17" i="3"/>
  <c r="A17" i="3" l="1"/>
  <c r="A18" i="3" s="1"/>
  <c r="A19" i="3" s="1"/>
  <c r="A20" i="3" s="1"/>
  <c r="G15" i="3" l="1"/>
  <c r="G16" i="3"/>
  <c r="G14" i="3"/>
  <c r="H15" i="3" l="1"/>
  <c r="H16" i="3"/>
  <c r="H14" i="3"/>
  <c r="H21" i="3" s="1"/>
  <c r="D4" i="3" l="1"/>
  <c r="A31" i="3"/>
  <c r="A32" i="3"/>
  <c r="D32" i="3"/>
  <c r="D31" i="3"/>
  <c r="D5" i="3"/>
  <c r="H11" i="1"/>
  <c r="H14" i="1" s="1"/>
  <c r="B4" i="2"/>
  <c r="C4" i="2" s="1"/>
  <c r="B3" i="2"/>
  <c r="C3" i="2" s="1"/>
  <c r="F3" i="2" l="1"/>
  <c r="E3" i="2"/>
  <c r="F4" i="2"/>
  <c r="E4" i="2"/>
</calcChain>
</file>

<file path=xl/sharedStrings.xml><?xml version="1.0" encoding="utf-8"?>
<sst xmlns="http://schemas.openxmlformats.org/spreadsheetml/2006/main" count="140" uniqueCount="127">
  <si>
    <t xml:space="preserve">                ĐƠN ĐẶT HÀNG 
                      CÔNG TY TNHH VMD HVAC VIỆT NAM</t>
  </si>
  <si>
    <t>BÊN BÁN</t>
  </si>
  <si>
    <t>BÊN MUA</t>
  </si>
  <si>
    <t>CÔNG TY TNHH VMD HVAC VIỆT NAM</t>
  </si>
  <si>
    <t>ĐT: 024-32123874</t>
  </si>
  <si>
    <t>Mã số thuế: 0107819715</t>
  </si>
  <si>
    <t>产品类型 LOẠI HÌNH SẢN PHẨM</t>
  </si>
  <si>
    <t>型号 MODEL</t>
  </si>
  <si>
    <t xml:space="preserve">总金额(VND) TỔNG TIỀN </t>
  </si>
  <si>
    <t>GHI CHÚ</t>
  </si>
  <si>
    <t>BỘ</t>
  </si>
  <si>
    <t>Tổng giá gồm VAT</t>
  </si>
  <si>
    <t>Đóng  gói: Theo tiêu chuẩn đăng ký</t>
  </si>
  <si>
    <t>Nhà sản xuất:  Midea</t>
  </si>
  <si>
    <t>Chất lượng: Hàng mới 100%, nguyên đai nguyên kiện</t>
  </si>
  <si>
    <t>Bảo hành: Chính Hãng</t>
  </si>
  <si>
    <t>TÊN TÀI KHOẢN:CÔNG TY TNHH VMD HVAC VIỆT NAM</t>
  </si>
  <si>
    <t xml:space="preserve">Ngân hàng: Ngân Hàng TMCP Ngoại Thương Việt Nam </t>
  </si>
  <si>
    <t>Thông tin giao hàng</t>
  </si>
  <si>
    <t>Địa chỉ:CHI NHÁNH THĂNG LONG HÀ NỘI</t>
  </si>
  <si>
    <t>Số TK:  049 1000 117007</t>
  </si>
  <si>
    <t>Phân tích lợi nhuận Heatpump</t>
  </si>
  <si>
    <t>Giá chưa VAT</t>
  </si>
  <si>
    <t>VAT10%</t>
  </si>
  <si>
    <t>Giá trả Midea</t>
  </si>
  <si>
    <t>Giá bán NPP</t>
  </si>
  <si>
    <t>Lợi nhuận khi bán cho đại lý</t>
  </si>
  <si>
    <t xml:space="preserve">Lợi nhuận sau khi trừ cho đại lý 10% ký thỏa thuận 3 bên </t>
  </si>
  <si>
    <t xml:space="preserve">Ngoài ra MMC còn thưởng đạt chỉ tiêu doanh thu 3%/năm </t>
  </si>
  <si>
    <t>Người đại diện: Li Chong Mei
Chức vụ: Tổng Giám đốc</t>
  </si>
  <si>
    <t>CÔNG TY CỔ PHẦN DEAIR</t>
  </si>
  <si>
    <t xml:space="preserve">Liên hệ: Ms.Tâm- 0925977579  </t>
  </si>
  <si>
    <t>Deair nhận hàng đầu Tháng11 năm 2025</t>
  </si>
  <si>
    <t>Phương thức thanh toán : Cọc 10% đặt hàng Thanh toán hoặc Mở Bảo lãnh thư 90% trước khi hàng rời kho</t>
  </si>
  <si>
    <t>Ngày giao hàng dự kiến: Tháng 15/04/2026</t>
  </si>
  <si>
    <t>Ngày đặt hàng: 09/02/2026</t>
  </si>
  <si>
    <r>
      <t xml:space="preserve">TP. Hồ Chí Minh, ngày 09  tháng 02  năm 2026
</t>
    </r>
    <r>
      <rPr>
        <b/>
        <u/>
        <sz val="10"/>
        <rFont val="Times New Roman"/>
        <family val="1"/>
      </rPr>
      <t xml:space="preserve">Bên bán </t>
    </r>
    <r>
      <rPr>
        <b/>
        <sz val="10"/>
        <rFont val="Times New Roman"/>
        <family val="1"/>
      </rPr>
      <t xml:space="preserve">
(Ký tên và đóng dấu: Người phụ trách khu vực - GĐSP - TP Kế toán CTKD - Tổng GĐ CTKD)</t>
    </r>
  </si>
  <si>
    <r>
      <t xml:space="preserve">TP. Hồ Chí Minh ngày 09 tháng 02  năm 2026
 </t>
    </r>
    <r>
      <rPr>
        <b/>
        <u/>
        <sz val="10"/>
        <color rgb="FF000000"/>
        <rFont val="Times New Roman"/>
        <family val="1"/>
      </rPr>
      <t xml:space="preserve">Bên mua </t>
    </r>
    <r>
      <rPr>
        <b/>
        <sz val="10"/>
        <color rgb="FF000000"/>
        <rFont val="Times New Roman"/>
        <family val="1"/>
      </rPr>
      <t xml:space="preserve">
(Ký tên và đóng dấu)
</t>
    </r>
  </si>
  <si>
    <t xml:space="preserve">     No: DEAIR20260209001</t>
  </si>
  <si>
    <t>Địa chỉ: 107 Hồng Bàng , Phường Nha Trang , Tỉnh Khánh Hòa</t>
  </si>
  <si>
    <t>Địa chỉ GPKD: ML6-38 Vinhomes Green Bay, 07 Đại Lộ Thăng Long, Phường Yên Hòa, Thành phố Hà Nội, Việt Nam</t>
  </si>
  <si>
    <t>Địa chỉ:</t>
  </si>
  <si>
    <t xml:space="preserve">Tel :                   </t>
  </si>
  <si>
    <t>Người đại diện : 
Chức vụ:</t>
  </si>
  <si>
    <t xml:space="preserve">Mã số thuế: </t>
  </si>
  <si>
    <t>序号 
STT</t>
  </si>
  <si>
    <t>数量
SỐ LƯỢNG</t>
  </si>
  <si>
    <t>单位
ĐVT</t>
  </si>
  <si>
    <t>含税单价</t>
  </si>
  <si>
    <t>ĐƠN ĐẶT HÀNG
CÔNG TY TNHH VMD HVAC VIỆT NAM
订单
美的（越南）暖通VMD有限责任公司</t>
  </si>
  <si>
    <t>BÊN MUA
甲方</t>
  </si>
  <si>
    <t>BÊN BÁN
乙方</t>
  </si>
  <si>
    <t>Địa chỉ GPKD:
地址：</t>
  </si>
  <si>
    <t>ML6-38 Vinhomes Green Bay, 07 Đại Lộ Thăng Long, Phường Yên Hòa, Thành phố Hà Nội, Việt Nam</t>
  </si>
  <si>
    <t>ĐT: 
电话号码：</t>
  </si>
  <si>
    <t>024-32123874</t>
  </si>
  <si>
    <t>Người đại diện:
代表人：</t>
  </si>
  <si>
    <t>Chức vụ:  
职位：</t>
  </si>
  <si>
    <t>Tổng Giám Đốc</t>
  </si>
  <si>
    <t>Mã số thuế: 
税号：</t>
  </si>
  <si>
    <t>0107819715</t>
  </si>
  <si>
    <t>Số GPKD: 
营业执照号码</t>
  </si>
  <si>
    <t>Tên dự án:
项目名称：</t>
  </si>
  <si>
    <t>STT
序号</t>
  </si>
  <si>
    <t>Model
产品型号</t>
  </si>
  <si>
    <t>Mô tả sản phẩm
产品规格</t>
  </si>
  <si>
    <t>Đơn vị
单位</t>
  </si>
  <si>
    <t>Số lượng
数量</t>
  </si>
  <si>
    <t>Đơn giá sau thuế
含税单价</t>
  </si>
  <si>
    <t>Thành tiền
sau thuế
含税金额</t>
  </si>
  <si>
    <t>Ghi chú
备注</t>
  </si>
  <si>
    <t>Tổng tiền 合计金额 VND:</t>
  </si>
  <si>
    <t>Bằng chữ (VND):</t>
  </si>
  <si>
    <t>大写金额(越南盾）:</t>
  </si>
  <si>
    <t>Nhà sản xuất:
品牌:</t>
  </si>
  <si>
    <t xml:space="preserve">Phương thức thanh toán:
付款方式: </t>
  </si>
  <si>
    <t>Bảo hành:
保修:</t>
  </si>
  <si>
    <t xml:space="preserve">Đóng gói:
包装: </t>
  </si>
  <si>
    <t>Theo tiêu chuẩn đăng ký
按照标准</t>
  </si>
  <si>
    <t>Ngày đặt hàng:
订单日期:</t>
  </si>
  <si>
    <t xml:space="preserve">Chất lượng:
质量: </t>
  </si>
  <si>
    <t>Hàng mới 100%
100%新货</t>
  </si>
  <si>
    <t>Ngày giao hàng:
交货日期:</t>
  </si>
  <si>
    <t xml:space="preserve">Ngân hàng:
银行: </t>
  </si>
  <si>
    <t>Ngân hàng TMCP Ngoại thương Việt Nam
越南外贸股份制商业银行</t>
  </si>
  <si>
    <t xml:space="preserve">ĐC giao hàng:
交货地址:  </t>
  </si>
  <si>
    <t xml:space="preserve">Địa chỉ:
银行地址: </t>
  </si>
  <si>
    <t>CN Thăng Long, Hà Nội
河内升龙分行</t>
  </si>
  <si>
    <t xml:space="preserve">Liên hệ:
联系人: </t>
  </si>
  <si>
    <t xml:space="preserve">Số TK:
银行账号:  </t>
  </si>
  <si>
    <t>049 1000 117007   (VND)</t>
  </si>
  <si>
    <t>Bên mua/甲方
(ký tên và đóng dấu)</t>
  </si>
  <si>
    <r>
      <rPr>
        <b/>
        <u/>
        <sz val="14"/>
        <rFont val="Times New Roman"/>
        <family val="1"/>
      </rPr>
      <t xml:space="preserve">Bên bán/ 乙方 </t>
    </r>
    <r>
      <rPr>
        <b/>
        <sz val="14"/>
        <rFont val="Times New Roman"/>
        <family val="1"/>
      </rPr>
      <t xml:space="preserve">
(ký tên và đóng dấu)
</t>
    </r>
  </si>
  <si>
    <t>HU ZHI HUI</t>
  </si>
  <si>
    <t>Thanh toán 100% tiền mặt</t>
  </si>
  <si>
    <t>Tính từ ngày nhận được thanh toán</t>
  </si>
  <si>
    <t>Chính sách bảo hành Midea - 120 tháng cho biến tần
美的保修政策</t>
  </si>
  <si>
    <t>Dự kiến 7 ngày từ ngày đặt hàng</t>
  </si>
  <si>
    <t xml:space="preserve">Midea </t>
  </si>
  <si>
    <t>Đế + BMS</t>
  </si>
  <si>
    <t>Hỗ trợ 40% đơn giá</t>
  </si>
  <si>
    <r>
      <t xml:space="preserve">Đơn giá sau hỗ trợ
</t>
    </r>
    <r>
      <rPr>
        <sz val="14"/>
        <rFont val="Times New Roman"/>
        <family val="1"/>
      </rPr>
      <t>补贴后单价</t>
    </r>
  </si>
  <si>
    <t>Cái</t>
  </si>
  <si>
    <t>Pin lưu trữ 5kwh</t>
  </si>
  <si>
    <t>Bộ Inverter All-in-one
 8kw - 1 pha</t>
  </si>
  <si>
    <t>MEI2-HS8H-AIO</t>
  </si>
  <si>
    <t>MEBC2-B5H-AIO</t>
  </si>
  <si>
    <t>MEC2-HJXH-AIO1</t>
  </si>
  <si>
    <t>Giám Đốc</t>
  </si>
  <si>
    <t>六千九百四十八万六百越南盾</t>
  </si>
  <si>
    <t>CÔNG TY TNHH THƯƠNG MẠI VÀ DỊCH VỤ KỸ THUẬT ÁNH DƯƠNG</t>
  </si>
  <si>
    <t>Xóm Nguyễn Hoằng, Xã Hải Hưng, Tỉnh Ninh Bình, Việt Nam</t>
  </si>
  <si>
    <t>0914 708 966</t>
  </si>
  <si>
    <t>VŨ THỊ HOÀI THU</t>
  </si>
  <si>
    <t>0601184270</t>
  </si>
  <si>
    <t>MEI2-HS6L</t>
  </si>
  <si>
    <t>MEB2-B5L-RA</t>
  </si>
  <si>
    <t>Hybrid Inverter 6kw</t>
  </si>
  <si>
    <t>Pin lưu trữ 5,12kwh</t>
  </si>
  <si>
    <t>17480300006260</t>
  </si>
  <si>
    <t>17480300006259</t>
  </si>
  <si>
    <t>Dây kết nối Battery to Battery (B-B)</t>
  </si>
  <si>
    <t>Dây kết nối Battery to Inverter (B-I)</t>
  </si>
  <si>
    <t>Công ty Ánh Dương nhập hàng Solar có sẵn tại kho</t>
  </si>
  <si>
    <t>Đội 6A, Hải Thanh, Hải Hậu, Nam Định</t>
  </si>
  <si>
    <t>0914.708.966 Chị Thu</t>
  </si>
  <si>
    <t>Mã đơn hàng/ 订单编号: 2026-07/1701/VMD-AD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</si>
</sst>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\ _₫_-;\-* #,##0\ _₫_-;_-* &quot;-&quot;??\ _₫_-;_-@"/>
    <numFmt numFmtId="165" formatCode="_(* #,##0_);_(* \(#,##0\);_(* &quot;-&quot;??_);_(@_)"/>
    <numFmt numFmtId="166" formatCode="#,##0.000"/>
    <numFmt numFmtId="167" formatCode="0.0%"/>
    <numFmt numFmtId="168" formatCode="_-* #,##0\ _₫_-;\-* #,##0\ _₫_-;_-* &quot;-&quot;??\ _₫_-;_-@_-"/>
    <numFmt numFmtId="169" formatCode="_-* #,##0.00\ _₫_-;\-* #,##0.00\ _₫_-;_-* &quot;-&quot;??\ _₫_-;_-@_-"/>
    <numFmt numFmtId="170" formatCode="_ * #,##0_ ;_ * \-#,##0_ ;_ * &quot;-&quot;??_ ;_ @_ "/>
    <numFmt numFmtId="171" formatCode="_ * #,##0.00_ ;_ * \-#,##0.00_ ;_ * &quot;-&quot;??_ ;_ @_ "/>
    <numFmt numFmtId="172" formatCode="[DBNum2][$-804]General"/>
    <numFmt numFmtId="173" formatCode="yyyy/mm/dd"/>
  </numFmts>
  <fonts count="32" x14ac:knownFonts="1">
    <font>
      <sz val="11"/>
      <name val="Calibri"/>
      <scheme val="minor"/>
    </font>
    <font>
      <b/>
      <sz val="10"/>
      <name val="Times New Roman"/>
      <family val="1"/>
    </font>
    <font>
      <sz val="11"/>
      <name val="Calibri"/>
      <family val="2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1"/>
      <name val="Calibri"/>
      <family val="2"/>
    </font>
    <font>
      <b/>
      <u/>
      <sz val="10"/>
      <name val="Times New Roman"/>
      <family val="1"/>
    </font>
    <font>
      <b/>
      <u/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0"/>
      <name val="Arial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4" fillId="0" borderId="0" applyFont="0" applyFill="0" applyBorder="0" applyAlignment="0" applyProtection="0"/>
    <xf numFmtId="0" fontId="15" fillId="0" borderId="0"/>
    <xf numFmtId="9" fontId="14" fillId="0" borderId="0" applyFont="0" applyFill="0" applyBorder="0" applyAlignment="0" applyProtection="0"/>
    <xf numFmtId="0" fontId="19" fillId="0" borderId="0"/>
    <xf numFmtId="0" fontId="21" fillId="0" borderId="0">
      <alignment vertical="center"/>
    </xf>
    <xf numFmtId="0" fontId="19" fillId="0" borderId="0"/>
    <xf numFmtId="0" fontId="23" fillId="0" borderId="0"/>
    <xf numFmtId="169" fontId="19" fillId="0" borderId="0" applyFont="0" applyFill="0" applyBorder="0" applyAlignment="0" applyProtection="0"/>
    <xf numFmtId="0" fontId="19" fillId="0" borderId="0"/>
    <xf numFmtId="171" fontId="26" fillId="0" borderId="0" applyFont="0" applyFill="0" applyBorder="0" applyAlignment="0" applyProtection="0">
      <alignment vertical="center"/>
    </xf>
  </cellStyleXfs>
  <cellXfs count="137">
    <xf numFmtId="0" fontId="0" fillId="0" borderId="0" xfId="0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164" fontId="5" fillId="2" borderId="4" xfId="0" applyNumberFormat="1" applyFont="1" applyFill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64" fontId="8" fillId="2" borderId="4" xfId="0" applyNumberFormat="1" applyFont="1" applyFill="1" applyBorder="1" applyAlignment="1">
      <alignment horizontal="right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164" fontId="1" fillId="2" borderId="16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167" fontId="5" fillId="2" borderId="4" xfId="0" applyNumberFormat="1" applyFont="1" applyFill="1" applyBorder="1" applyAlignment="1">
      <alignment horizontal="center" vertical="center" wrapText="1"/>
    </xf>
    <xf numFmtId="10" fontId="5" fillId="2" borderId="4" xfId="0" applyNumberFormat="1" applyFont="1" applyFill="1" applyBorder="1" applyAlignment="1">
      <alignment vertical="center" wrapText="1"/>
    </xf>
    <xf numFmtId="164" fontId="8" fillId="2" borderId="4" xfId="0" applyNumberFormat="1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8" fillId="2" borderId="20" xfId="0" applyFont="1" applyFill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/>
    </xf>
    <xf numFmtId="164" fontId="8" fillId="2" borderId="2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0" fillId="0" borderId="20" xfId="4" applyFont="1" applyBorder="1" applyAlignment="1">
      <alignment horizontal="center" vertical="center" wrapText="1"/>
    </xf>
    <xf numFmtId="0" fontId="22" fillId="0" borderId="20" xfId="6" applyFont="1" applyBorder="1" applyAlignment="1">
      <alignment vertical="center" wrapText="1"/>
    </xf>
    <xf numFmtId="0" fontId="22" fillId="0" borderId="20" xfId="6" applyFont="1" applyBorder="1" applyAlignment="1">
      <alignment vertical="top" wrapText="1"/>
    </xf>
    <xf numFmtId="170" fontId="24" fillId="0" borderId="20" xfId="8" applyNumberFormat="1" applyFont="1" applyFill="1" applyBorder="1" applyAlignment="1">
      <alignment horizontal="center" vertical="center" wrapText="1"/>
    </xf>
    <xf numFmtId="168" fontId="20" fillId="0" borderId="20" xfId="8" applyNumberFormat="1" applyFont="1" applyFill="1" applyBorder="1" applyAlignment="1">
      <alignment horizontal="center" vertical="center" wrapText="1"/>
    </xf>
    <xf numFmtId="0" fontId="28" fillId="0" borderId="20" xfId="4" applyFont="1" applyBorder="1" applyAlignment="1">
      <alignment horizontal="center" vertical="center"/>
    </xf>
    <xf numFmtId="170" fontId="28" fillId="0" borderId="20" xfId="10" applyNumberFormat="1" applyFont="1" applyBorder="1" applyAlignment="1">
      <alignment horizontal="center" vertical="center"/>
    </xf>
    <xf numFmtId="0" fontId="22" fillId="0" borderId="20" xfId="4" applyFont="1" applyBorder="1" applyAlignment="1">
      <alignment vertical="center" wrapText="1"/>
    </xf>
    <xf numFmtId="0" fontId="30" fillId="0" borderId="0" xfId="5" applyFont="1">
      <alignment vertical="center"/>
    </xf>
    <xf numFmtId="9" fontId="30" fillId="0" borderId="0" xfId="3" applyFont="1" applyAlignment="1">
      <alignment vertical="center"/>
    </xf>
    <xf numFmtId="9" fontId="30" fillId="0" borderId="0" xfId="5" applyNumberFormat="1" applyFont="1">
      <alignment vertical="center"/>
    </xf>
    <xf numFmtId="0" fontId="6" fillId="0" borderId="20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2" fillId="0" borderId="20" xfId="4" applyFont="1" applyBorder="1" applyAlignment="1">
      <alignment horizontal="center" vertical="center" wrapText="1"/>
    </xf>
    <xf numFmtId="0" fontId="20" fillId="0" borderId="31" xfId="4" applyFont="1" applyBorder="1" applyAlignment="1">
      <alignment horizontal="center" vertical="center" wrapText="1"/>
    </xf>
    <xf numFmtId="170" fontId="25" fillId="0" borderId="20" xfId="8" applyNumberFormat="1" applyFont="1" applyFill="1" applyBorder="1" applyAlignment="1">
      <alignment horizontal="center" vertical="center" wrapText="1"/>
    </xf>
    <xf numFmtId="41" fontId="27" fillId="0" borderId="20" xfId="0" applyNumberFormat="1" applyFont="1" applyBorder="1" applyAlignment="1">
      <alignment horizontal="center" vertical="center" wrapText="1"/>
    </xf>
    <xf numFmtId="168" fontId="22" fillId="0" borderId="20" xfId="8" applyNumberFormat="1" applyFont="1" applyFill="1" applyBorder="1" applyAlignment="1">
      <alignment horizontal="center" vertical="center" wrapText="1"/>
    </xf>
    <xf numFmtId="168" fontId="28" fillId="0" borderId="20" xfId="4" applyNumberFormat="1" applyFont="1" applyBorder="1" applyAlignment="1">
      <alignment horizontal="center" vertical="center"/>
    </xf>
    <xf numFmtId="0" fontId="31" fillId="0" borderId="20" xfId="0" quotePrefix="1" applyFont="1" applyBorder="1" applyAlignment="1">
      <alignment horizontal="center" vertical="center" wrapText="1"/>
    </xf>
    <xf numFmtId="168" fontId="22" fillId="0" borderId="20" xfId="8" applyNumberFormat="1" applyFont="1" applyFill="1" applyBorder="1" applyAlignment="1">
      <alignment vertical="center" wrapText="1"/>
    </xf>
    <xf numFmtId="0" fontId="28" fillId="0" borderId="26" xfId="5" applyFont="1" applyBorder="1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28" fillId="0" borderId="27" xfId="5" applyFont="1" applyBorder="1" applyAlignment="1">
      <alignment horizontal="center" vertical="center"/>
    </xf>
    <xf numFmtId="0" fontId="28" fillId="0" borderId="28" xfId="5" applyFont="1" applyBorder="1" applyAlignment="1">
      <alignment horizontal="center" vertical="center"/>
    </xf>
    <xf numFmtId="0" fontId="28" fillId="0" borderId="29" xfId="5" applyFont="1" applyBorder="1" applyAlignment="1">
      <alignment horizontal="center" vertical="center"/>
    </xf>
    <xf numFmtId="0" fontId="28" fillId="0" borderId="30" xfId="5" applyFont="1" applyBorder="1" applyAlignment="1">
      <alignment horizontal="center" vertical="center"/>
    </xf>
    <xf numFmtId="0" fontId="22" fillId="0" borderId="20" xfId="4" applyFont="1" applyBorder="1" applyAlignment="1">
      <alignment horizontal="left" vertical="center" wrapText="1"/>
    </xf>
    <xf numFmtId="0" fontId="22" fillId="0" borderId="20" xfId="6" applyFont="1" applyBorder="1" applyAlignment="1">
      <alignment horizontal="left" vertical="center" wrapText="1"/>
    </xf>
    <xf numFmtId="0" fontId="22" fillId="0" borderId="20" xfId="4" applyFont="1" applyBorder="1" applyAlignment="1">
      <alignment horizontal="left" vertical="center"/>
    </xf>
    <xf numFmtId="0" fontId="20" fillId="0" borderId="23" xfId="4" applyFont="1" applyBorder="1" applyAlignment="1">
      <alignment horizontal="center" vertical="top" wrapText="1"/>
    </xf>
    <xf numFmtId="0" fontId="20" fillId="0" borderId="24" xfId="4" applyFont="1" applyBorder="1" applyAlignment="1">
      <alignment horizontal="center" vertical="top" wrapText="1"/>
    </xf>
    <xf numFmtId="0" fontId="20" fillId="0" borderId="25" xfId="4" applyFont="1" applyBorder="1" applyAlignment="1">
      <alignment horizontal="center" vertical="top" wrapText="1"/>
    </xf>
    <xf numFmtId="0" fontId="20" fillId="0" borderId="23" xfId="5" applyFont="1" applyBorder="1" applyAlignment="1">
      <alignment horizontal="center" vertical="top" wrapText="1"/>
    </xf>
    <xf numFmtId="0" fontId="20" fillId="0" borderId="24" xfId="5" applyFont="1" applyBorder="1" applyAlignment="1">
      <alignment horizontal="center" vertical="top" wrapText="1"/>
    </xf>
    <xf numFmtId="0" fontId="20" fillId="0" borderId="25" xfId="5" applyFont="1" applyBorder="1" applyAlignment="1">
      <alignment horizontal="center" vertical="top" wrapText="1"/>
    </xf>
    <xf numFmtId="173" fontId="22" fillId="0" borderId="20" xfId="4" applyNumberFormat="1" applyFont="1" applyBorder="1" applyAlignment="1">
      <alignment horizontal="left" vertical="center" wrapText="1"/>
    </xf>
    <xf numFmtId="173" fontId="22" fillId="0" borderId="20" xfId="4" applyNumberFormat="1" applyFont="1" applyBorder="1" applyAlignment="1">
      <alignment horizontal="left" vertical="center"/>
    </xf>
    <xf numFmtId="0" fontId="22" fillId="0" borderId="17" xfId="7" quotePrefix="1" applyFont="1" applyBorder="1" applyAlignment="1">
      <alignment horizontal="left" vertical="center"/>
    </xf>
    <xf numFmtId="0" fontId="22" fillId="0" borderId="19" xfId="7" applyFont="1" applyBorder="1" applyAlignment="1">
      <alignment horizontal="left" vertical="center"/>
    </xf>
    <xf numFmtId="0" fontId="22" fillId="0" borderId="17" xfId="6" applyFont="1" applyBorder="1" applyAlignment="1">
      <alignment horizontal="left" vertical="center"/>
    </xf>
    <xf numFmtId="0" fontId="22" fillId="0" borderId="18" xfId="6" applyFont="1" applyBorder="1" applyAlignment="1">
      <alignment horizontal="left" vertical="center"/>
    </xf>
    <xf numFmtId="0" fontId="22" fillId="0" borderId="19" xfId="6" applyFont="1" applyBorder="1" applyAlignment="1">
      <alignment horizontal="left" vertical="center"/>
    </xf>
    <xf numFmtId="0" fontId="22" fillId="0" borderId="20" xfId="6" applyFont="1" applyBorder="1" applyAlignment="1">
      <alignment horizontal="left" vertical="center"/>
    </xf>
    <xf numFmtId="0" fontId="28" fillId="0" borderId="20" xfId="4" applyFont="1" applyBorder="1" applyAlignment="1">
      <alignment horizontal="right" vertical="center"/>
    </xf>
    <xf numFmtId="0" fontId="28" fillId="0" borderId="20" xfId="4" applyFont="1" applyBorder="1" applyAlignment="1">
      <alignment horizontal="left" vertical="center"/>
    </xf>
    <xf numFmtId="172" fontId="28" fillId="0" borderId="20" xfId="4" applyNumberFormat="1" applyFont="1" applyBorder="1" applyAlignment="1">
      <alignment horizontal="left" vertical="center"/>
    </xf>
    <xf numFmtId="168" fontId="22" fillId="0" borderId="32" xfId="8" applyNumberFormat="1" applyFont="1" applyFill="1" applyBorder="1" applyAlignment="1">
      <alignment horizontal="center" vertical="center" wrapText="1"/>
    </xf>
    <xf numFmtId="168" fontId="22" fillId="0" borderId="33" xfId="8" applyNumberFormat="1" applyFont="1" applyFill="1" applyBorder="1" applyAlignment="1">
      <alignment horizontal="center" vertical="center" wrapText="1"/>
    </xf>
    <xf numFmtId="168" fontId="22" fillId="0" borderId="31" xfId="8" applyNumberFormat="1" applyFont="1" applyFill="1" applyBorder="1" applyAlignment="1">
      <alignment horizontal="center" vertical="center" wrapText="1"/>
    </xf>
    <xf numFmtId="0" fontId="22" fillId="0" borderId="17" xfId="7" applyFont="1" applyBorder="1" applyAlignment="1">
      <alignment horizontal="left" vertical="center"/>
    </xf>
    <xf numFmtId="0" fontId="20" fillId="0" borderId="20" xfId="6" applyFont="1" applyBorder="1" applyAlignment="1">
      <alignment horizontal="center" vertical="center" wrapText="1"/>
    </xf>
    <xf numFmtId="0" fontId="22" fillId="0" borderId="20" xfId="6" applyFont="1" applyBorder="1" applyAlignment="1">
      <alignment horizontal="center" vertical="center" wrapText="1"/>
    </xf>
    <xf numFmtId="0" fontId="20" fillId="0" borderId="20" xfId="4" applyFont="1" applyBorder="1" applyAlignment="1">
      <alignment horizontal="center" vertical="center" wrapText="1"/>
    </xf>
    <xf numFmtId="0" fontId="22" fillId="0" borderId="20" xfId="4" applyFont="1" applyBorder="1" applyAlignment="1">
      <alignment horizontal="center" vertical="center" wrapText="1"/>
    </xf>
    <xf numFmtId="168" fontId="1" fillId="0" borderId="17" xfId="1" applyNumberFormat="1" applyFont="1" applyBorder="1" applyAlignment="1">
      <alignment horizontal="left" vertical="center"/>
    </xf>
    <xf numFmtId="168" fontId="1" fillId="0" borderId="18" xfId="1" applyNumberFormat="1" applyFont="1" applyBorder="1" applyAlignment="1">
      <alignment horizontal="left" vertical="center"/>
    </xf>
    <xf numFmtId="168" fontId="1" fillId="0" borderId="19" xfId="1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6" fillId="3" borderId="17" xfId="2" applyFont="1" applyFill="1" applyBorder="1" applyAlignment="1">
      <alignment horizontal="center" vertical="center"/>
    </xf>
    <xf numFmtId="0" fontId="16" fillId="3" borderId="18" xfId="2" applyFont="1" applyFill="1" applyBorder="1" applyAlignment="1">
      <alignment horizontal="center" vertical="center"/>
    </xf>
    <xf numFmtId="0" fontId="1" fillId="3" borderId="17" xfId="2" applyFont="1" applyFill="1" applyBorder="1" applyAlignment="1">
      <alignment horizontal="center" vertical="center" wrapText="1"/>
    </xf>
    <xf numFmtId="0" fontId="16" fillId="3" borderId="18" xfId="2" applyFont="1" applyFill="1" applyBorder="1" applyAlignment="1">
      <alignment horizontal="center" vertical="center" wrapText="1"/>
    </xf>
    <xf numFmtId="0" fontId="16" fillId="3" borderId="19" xfId="2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5" fillId="2" borderId="6" xfId="0" applyNumberFormat="1" applyFont="1" applyFill="1" applyBorder="1" applyAlignment="1">
      <alignment horizontal="center" vertical="center" wrapText="1"/>
    </xf>
    <xf numFmtId="0" fontId="2" fillId="0" borderId="8" xfId="0" applyFont="1" applyBorder="1"/>
    <xf numFmtId="164" fontId="7" fillId="2" borderId="21" xfId="0" applyNumberFormat="1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1" fillId="2" borderId="1" xfId="0" applyFont="1" applyFill="1" applyBorder="1" applyAlignment="1">
      <alignment vertical="center" wrapText="1"/>
    </xf>
    <xf numFmtId="0" fontId="16" fillId="3" borderId="20" xfId="2" applyFont="1" applyFill="1" applyBorder="1" applyAlignment="1">
      <alignment horizontal="left" vertical="center" wrapText="1"/>
    </xf>
    <xf numFmtId="0" fontId="1" fillId="3" borderId="20" xfId="2" applyFont="1" applyFill="1" applyBorder="1" applyAlignment="1">
      <alignment horizontal="left" vertical="center" wrapText="1"/>
    </xf>
    <xf numFmtId="0" fontId="16" fillId="3" borderId="20" xfId="2" applyFont="1" applyFill="1" applyBorder="1" applyAlignment="1">
      <alignment horizontal="left" vertical="center"/>
    </xf>
    <xf numFmtId="0" fontId="1" fillId="3" borderId="20" xfId="2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8" fillId="0" borderId="2" xfId="0" applyFont="1" applyBorder="1"/>
    <xf numFmtId="0" fontId="18" fillId="0" borderId="3" xfId="0" applyFont="1" applyBorder="1"/>
    <xf numFmtId="165" fontId="8" fillId="2" borderId="20" xfId="1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 wrapText="1"/>
    </xf>
  </cellXfs>
  <cellStyles count="11">
    <cellStyle name="Comma" xfId="1" builtinId="3"/>
    <cellStyle name="Comma 2" xfId="8" xr:uid="{E0D85BC5-9343-469E-91B5-03ADB8372E0A}"/>
    <cellStyle name="Comma 3" xfId="10" xr:uid="{157365F5-FE65-4AB9-ADEF-097515341B62}"/>
    <cellStyle name="Normal" xfId="0" builtinId="0"/>
    <cellStyle name="Normal 2" xfId="4" xr:uid="{72487397-8D5E-489D-A3C3-5C505A1EAC60}"/>
    <cellStyle name="Normal 2 2" xfId="2" xr:uid="{00000000-0005-0000-0000-000002000000}"/>
    <cellStyle name="Normal 2 2 2" xfId="6" xr:uid="{AE608F77-EAD8-4EBF-845C-7EA6305A3CAF}"/>
    <cellStyle name="Normal 2 3" xfId="9" xr:uid="{2F4851BD-F6AB-41C4-92B9-34D87B99A635}"/>
    <cellStyle name="Normal 3" xfId="5" xr:uid="{9149F289-A6DF-421B-A301-041BB0768980}"/>
    <cellStyle name="Normal_Sheet1_1 2" xfId="7" xr:uid="{F57462D3-730B-42D3-8D8D-321BCD2AA7E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9526</xdr:rowOff>
    </xdr:from>
    <xdr:ext cx="1076325" cy="400049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6"/>
          <a:ext cx="1076325" cy="40004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127000</xdr:rowOff>
    </xdr:from>
    <xdr:to>
      <xdr:col>1</xdr:col>
      <xdr:colOff>640509</xdr:colOff>
      <xdr:row>0</xdr:row>
      <xdr:rowOff>711200</xdr:rowOff>
    </xdr:to>
    <xdr:pic>
      <xdr:nvPicPr>
        <xdr:cNvPr id="2" name="图片 2" descr="Midea_logo">
          <a:extLst>
            <a:ext uri="{FF2B5EF4-FFF2-40B4-BE49-F238E27FC236}">
              <a16:creationId xmlns:a16="http://schemas.microsoft.com/office/drawing/2014/main" id="{9F8B0AF8-289D-4984-BEC9-F67A790E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3200" y="127000"/>
          <a:ext cx="1565341" cy="584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62b8ac9325bd39b/M&#225;y%20t&#237;nh/Midea/Template/2025%5e%5e.%20&#25253;&#20215;%20-%20&#35746;&#21333;%20-%20%5e%5e.&#39033;&#30446;%20v4%20RV%20-%20sau%20thu&#787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DATA"/>
      <sheetName val="2025年-设备报价(英-中）"/>
      <sheetName val="2025年-设备报价（越-中）"/>
      <sheetName val="2025年-订单"/>
      <sheetName val="家用+10HP"/>
      <sheetName val="多联机"/>
      <sheetName val="AHU"/>
      <sheetName val="屋顶机"/>
      <sheetName val="热水泵"/>
      <sheetName val="风盘"/>
      <sheetName val="HRV"/>
    </sheetNames>
    <sheetDataSet>
      <sheetData sheetId="0"/>
      <sheetData sheetId="1"/>
      <sheetData sheetId="2">
        <row r="11">
          <cell r="C11" t="str">
            <v>VMD（越南）暖通有限责任公司</v>
          </cell>
        </row>
        <row r="12">
          <cell r="C12" t="str">
            <v>CÔNG TY TNHH VMD HVAC VIỆT NAM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"/>
  <sheetViews>
    <sheetView zoomScaleNormal="100" zoomScaleSheetLayoutView="106" workbookViewId="0">
      <selection activeCell="K13" sqref="K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16.36328125" customWidth="1"/>
    <col min="4" max="4" width="7" customWidth="1"/>
    <col min="5" max="5" width="6.81640625" customWidth="1"/>
    <col min="6" max="6" width="9.08984375" customWidth="1"/>
    <col min="7" max="7" width="3.36328125" customWidth="1"/>
    <col min="8" max="8" width="12.81640625" customWidth="1"/>
    <col min="9" max="9" width="17.453125" customWidth="1"/>
    <col min="10" max="10" width="13.36328125" customWidth="1"/>
    <col min="11" max="12" width="15.36328125" customWidth="1"/>
    <col min="13" max="13" width="15.453125" customWidth="1"/>
    <col min="14" max="14" width="14" customWidth="1"/>
    <col min="15" max="15" width="12.6328125" customWidth="1"/>
    <col min="16" max="16" width="9.36328125" customWidth="1"/>
    <col min="17" max="17" width="14.6328125" customWidth="1"/>
    <col min="18" max="18" width="12.6328125" customWidth="1"/>
    <col min="19" max="29" width="9.36328125" customWidth="1"/>
  </cols>
  <sheetData>
    <row r="1" spans="1:29" ht="33.75" customHeight="1" x14ac:dyDescent="0.35">
      <c r="A1" s="94" t="s">
        <v>0</v>
      </c>
      <c r="B1" s="95"/>
      <c r="C1" s="95"/>
      <c r="D1" s="95"/>
      <c r="E1" s="95"/>
      <c r="F1" s="95"/>
      <c r="G1" s="95"/>
      <c r="H1" s="95"/>
      <c r="I1" s="96"/>
      <c r="J1" s="1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/>
    </row>
    <row r="2" spans="1:29" ht="12.75" customHeight="1" x14ac:dyDescent="0.35">
      <c r="A2" s="103"/>
      <c r="B2" s="104"/>
      <c r="C2" s="104"/>
      <c r="D2" s="104"/>
      <c r="E2" s="105"/>
      <c r="F2" s="34" t="s">
        <v>38</v>
      </c>
      <c r="G2" s="106"/>
      <c r="H2" s="106"/>
      <c r="I2" s="107"/>
      <c r="J2" s="1"/>
      <c r="K2" s="2"/>
      <c r="L2" s="2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2.75" customHeight="1" x14ac:dyDescent="0.35">
      <c r="A3" s="97" t="s">
        <v>1</v>
      </c>
      <c r="B3" s="95"/>
      <c r="C3" s="95"/>
      <c r="D3" s="95"/>
      <c r="E3" s="96"/>
      <c r="F3" s="97" t="s">
        <v>2</v>
      </c>
      <c r="G3" s="95"/>
      <c r="H3" s="95"/>
      <c r="I3" s="96"/>
      <c r="J3" s="1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7.75" customHeight="1" x14ac:dyDescent="0.35">
      <c r="A4" s="98" t="s">
        <v>3</v>
      </c>
      <c r="B4" s="99"/>
      <c r="C4" s="99"/>
      <c r="D4" s="99"/>
      <c r="E4" s="99"/>
      <c r="F4" s="100" t="s">
        <v>30</v>
      </c>
      <c r="G4" s="101"/>
      <c r="H4" s="101"/>
      <c r="I4" s="102"/>
      <c r="J4" s="3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23.25" customHeight="1" x14ac:dyDescent="0.35">
      <c r="A5" s="114" t="s">
        <v>40</v>
      </c>
      <c r="B5" s="114"/>
      <c r="C5" s="114"/>
      <c r="D5" s="114"/>
      <c r="E5" s="114"/>
      <c r="F5" s="115" t="s">
        <v>41</v>
      </c>
      <c r="G5" s="114"/>
      <c r="H5" s="114"/>
      <c r="I5" s="114"/>
      <c r="J5" s="3"/>
      <c r="K5" s="4"/>
      <c r="L5" s="4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21" customHeight="1" x14ac:dyDescent="0.35">
      <c r="A6" s="114"/>
      <c r="B6" s="114"/>
      <c r="C6" s="114"/>
      <c r="D6" s="114"/>
      <c r="E6" s="114"/>
      <c r="F6" s="114"/>
      <c r="G6" s="114"/>
      <c r="H6" s="114"/>
      <c r="I6" s="114"/>
      <c r="J6" s="3"/>
      <c r="K6" s="4"/>
      <c r="L6" s="4"/>
      <c r="M6" s="4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" customHeight="1" x14ac:dyDescent="0.35">
      <c r="A7" s="116" t="s">
        <v>4</v>
      </c>
      <c r="B7" s="116"/>
      <c r="C7" s="116"/>
      <c r="D7" s="116"/>
      <c r="E7" s="116"/>
      <c r="F7" s="91" t="s">
        <v>42</v>
      </c>
      <c r="G7" s="92"/>
      <c r="H7" s="92"/>
      <c r="I7" s="93"/>
      <c r="J7" s="3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27" customHeight="1" x14ac:dyDescent="0.35">
      <c r="A8" s="114" t="s">
        <v>29</v>
      </c>
      <c r="B8" s="116"/>
      <c r="C8" s="116"/>
      <c r="D8" s="116"/>
      <c r="E8" s="116"/>
      <c r="F8" s="115" t="s">
        <v>43</v>
      </c>
      <c r="G8" s="114"/>
      <c r="H8" s="114"/>
      <c r="I8" s="114"/>
      <c r="J8" s="3"/>
      <c r="K8" s="2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7.25" customHeight="1" x14ac:dyDescent="0.35">
      <c r="A9" s="116" t="s">
        <v>5</v>
      </c>
      <c r="B9" s="116"/>
      <c r="C9" s="116"/>
      <c r="D9" s="116"/>
      <c r="E9" s="116"/>
      <c r="F9" s="117" t="s">
        <v>44</v>
      </c>
      <c r="G9" s="116"/>
      <c r="H9" s="116"/>
      <c r="I9" s="116"/>
      <c r="J9" s="3"/>
      <c r="K9" s="4"/>
      <c r="L9" s="4"/>
      <c r="M9" s="4"/>
      <c r="N9" s="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44.25" customHeight="1" x14ac:dyDescent="0.35">
      <c r="A10" s="27" t="s">
        <v>45</v>
      </c>
      <c r="B10" s="27" t="s">
        <v>6</v>
      </c>
      <c r="C10" s="27" t="s">
        <v>7</v>
      </c>
      <c r="D10" s="27" t="s">
        <v>46</v>
      </c>
      <c r="E10" s="28" t="s">
        <v>47</v>
      </c>
      <c r="F10" s="108" t="s">
        <v>48</v>
      </c>
      <c r="G10" s="109"/>
      <c r="H10" s="28" t="s">
        <v>8</v>
      </c>
      <c r="I10" s="5" t="s">
        <v>9</v>
      </c>
      <c r="J10" s="6"/>
      <c r="K10" s="7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28.5" customHeight="1" x14ac:dyDescent="0.35">
      <c r="A11" s="29">
        <v>1</v>
      </c>
      <c r="B11" s="29"/>
      <c r="C11" s="30"/>
      <c r="D11" s="31">
        <v>1</v>
      </c>
      <c r="E11" s="32" t="s">
        <v>10</v>
      </c>
      <c r="F11" s="121">
        <v>116860000</v>
      </c>
      <c r="G11" s="121"/>
      <c r="H11" s="32">
        <f t="shared" ref="H11" si="0">F11*D11</f>
        <v>116860000</v>
      </c>
      <c r="I11" s="110" t="s">
        <v>32</v>
      </c>
      <c r="J11" s="6"/>
      <c r="K11" s="12"/>
      <c r="L11" s="13"/>
      <c r="M11" s="13"/>
      <c r="N11" s="13"/>
      <c r="O11" s="13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4.5" x14ac:dyDescent="0.35">
      <c r="A12" s="122"/>
      <c r="B12" s="123"/>
      <c r="C12" s="123"/>
      <c r="D12" s="123"/>
      <c r="E12" s="123"/>
      <c r="F12" s="123"/>
      <c r="G12" s="124"/>
      <c r="H12" s="33"/>
      <c r="I12" s="111"/>
      <c r="J12" s="6"/>
      <c r="K12" s="7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14.5" x14ac:dyDescent="0.35">
      <c r="A13" s="94"/>
      <c r="B13" s="95"/>
      <c r="C13" s="95"/>
      <c r="D13" s="95"/>
      <c r="E13" s="95"/>
      <c r="F13" s="95"/>
      <c r="G13" s="96"/>
      <c r="H13" s="14"/>
      <c r="I13" s="111"/>
      <c r="J13" s="6"/>
      <c r="K13" s="7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14.5" x14ac:dyDescent="0.35">
      <c r="A14" s="94" t="s">
        <v>11</v>
      </c>
      <c r="B14" s="95"/>
      <c r="C14" s="95"/>
      <c r="D14" s="95"/>
      <c r="E14" s="95"/>
      <c r="F14" s="95"/>
      <c r="G14" s="96"/>
      <c r="H14" s="15">
        <f>H11</f>
        <v>116860000</v>
      </c>
      <c r="I14" s="112"/>
      <c r="J14" s="6"/>
      <c r="K14" s="7"/>
      <c r="L14" s="8"/>
      <c r="M14" s="8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43.5" customHeight="1" x14ac:dyDescent="0.35">
      <c r="A15" s="118" t="s">
        <v>33</v>
      </c>
      <c r="B15" s="119"/>
      <c r="C15" s="119"/>
      <c r="D15" s="119"/>
      <c r="E15" s="120"/>
      <c r="F15" s="118"/>
      <c r="G15" s="95"/>
      <c r="H15" s="95"/>
      <c r="I15" s="96"/>
      <c r="J15" s="1"/>
      <c r="K15" s="2"/>
      <c r="L15" s="2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.5" x14ac:dyDescent="0.35">
      <c r="A16" s="113" t="s">
        <v>12</v>
      </c>
      <c r="B16" s="95"/>
      <c r="C16" s="95"/>
      <c r="D16" s="95"/>
      <c r="E16" s="96"/>
      <c r="F16" s="113" t="s">
        <v>13</v>
      </c>
      <c r="G16" s="95"/>
      <c r="H16" s="95"/>
      <c r="I16" s="96"/>
      <c r="J16" s="1"/>
      <c r="K16" s="2"/>
      <c r="L16" s="2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" x14ac:dyDescent="0.35">
      <c r="A17" s="16" t="s">
        <v>14</v>
      </c>
      <c r="B17" s="16"/>
      <c r="C17" s="16"/>
      <c r="D17" s="17"/>
      <c r="E17" s="18"/>
      <c r="F17" s="113" t="s">
        <v>15</v>
      </c>
      <c r="G17" s="95"/>
      <c r="H17" s="95"/>
      <c r="I17" s="96"/>
      <c r="J17" s="1"/>
      <c r="K17" s="2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5" x14ac:dyDescent="0.35">
      <c r="A18" s="128" t="s">
        <v>16</v>
      </c>
      <c r="B18" s="129"/>
      <c r="C18" s="129"/>
      <c r="D18" s="129"/>
      <c r="E18" s="130"/>
      <c r="F18" s="113" t="s">
        <v>35</v>
      </c>
      <c r="G18" s="95"/>
      <c r="H18" s="95"/>
      <c r="I18" s="96"/>
      <c r="J18" s="1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5" x14ac:dyDescent="0.35">
      <c r="A19" s="131"/>
      <c r="B19" s="132"/>
      <c r="C19" s="132"/>
      <c r="D19" s="132"/>
      <c r="E19" s="133"/>
      <c r="F19" s="126" t="s">
        <v>34</v>
      </c>
      <c r="G19" s="95"/>
      <c r="H19" s="95"/>
      <c r="I19" s="96"/>
      <c r="J19" s="1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5" x14ac:dyDescent="0.35">
      <c r="A20" s="113" t="s">
        <v>17</v>
      </c>
      <c r="B20" s="95"/>
      <c r="C20" s="95"/>
      <c r="D20" s="95"/>
      <c r="E20" s="96"/>
      <c r="F20" s="127" t="s">
        <v>18</v>
      </c>
      <c r="G20" s="95"/>
      <c r="H20" s="95"/>
      <c r="I20" s="96"/>
      <c r="J20" s="1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.75" customHeight="1" x14ac:dyDescent="0.35">
      <c r="A21" s="113" t="s">
        <v>19</v>
      </c>
      <c r="B21" s="95"/>
      <c r="C21" s="95"/>
      <c r="D21" s="95"/>
      <c r="E21" s="96"/>
      <c r="F21" s="113" t="s">
        <v>39</v>
      </c>
      <c r="G21" s="95"/>
      <c r="H21" s="95"/>
      <c r="I21" s="96"/>
      <c r="J21" s="1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5" x14ac:dyDescent="0.35">
      <c r="A22" s="126" t="s">
        <v>20</v>
      </c>
      <c r="B22" s="95"/>
      <c r="C22" s="95"/>
      <c r="D22" s="95"/>
      <c r="E22" s="96"/>
      <c r="F22" s="113" t="s">
        <v>31</v>
      </c>
      <c r="G22" s="95"/>
      <c r="H22" s="95"/>
      <c r="I22" s="96"/>
      <c r="J22" s="1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6" customHeight="1" x14ac:dyDescent="0.35">
      <c r="A23" s="125" t="s">
        <v>36</v>
      </c>
      <c r="B23" s="95"/>
      <c r="C23" s="95"/>
      <c r="D23" s="95"/>
      <c r="E23" s="96"/>
      <c r="F23" s="134" t="s">
        <v>37</v>
      </c>
      <c r="G23" s="135"/>
      <c r="H23" s="135"/>
      <c r="I23" s="136"/>
      <c r="J23" s="1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 x14ac:dyDescent="0.35">
      <c r="A24" s="19"/>
      <c r="B24" s="19"/>
      <c r="C24" s="19"/>
      <c r="D24" s="20"/>
      <c r="E24" s="21"/>
      <c r="F24" s="21"/>
      <c r="G24" s="21"/>
      <c r="H24" s="19"/>
      <c r="I24" s="21"/>
      <c r="J24" s="1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 x14ac:dyDescent="0.35">
      <c r="A25" s="19"/>
      <c r="B25" s="19"/>
      <c r="C25" s="19"/>
      <c r="D25" s="20"/>
      <c r="E25" s="21"/>
      <c r="F25" s="21"/>
      <c r="G25" s="21"/>
      <c r="H25" s="19"/>
      <c r="I25" s="19"/>
      <c r="J25" s="1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 x14ac:dyDescent="0.35">
      <c r="A26" s="19"/>
      <c r="B26" s="19"/>
      <c r="C26" s="19"/>
      <c r="D26" s="20"/>
      <c r="E26" s="21"/>
      <c r="F26" s="21"/>
      <c r="G26" s="21"/>
      <c r="H26" s="19"/>
      <c r="I26" s="19"/>
      <c r="J26" s="1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 x14ac:dyDescent="0.35">
      <c r="A27" s="19"/>
      <c r="B27" s="19"/>
      <c r="C27" s="19"/>
      <c r="D27" s="20"/>
      <c r="E27" s="21"/>
      <c r="F27" s="21"/>
      <c r="G27" s="21"/>
      <c r="H27" s="19"/>
      <c r="I27" s="19"/>
      <c r="J27" s="1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 x14ac:dyDescent="0.35">
      <c r="A28" s="19"/>
      <c r="B28" s="19"/>
      <c r="C28" s="19"/>
      <c r="D28" s="20"/>
      <c r="E28" s="21"/>
      <c r="F28" s="21"/>
      <c r="G28" s="21"/>
      <c r="H28" s="19"/>
      <c r="I28" s="19"/>
      <c r="J28" s="1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 x14ac:dyDescent="0.35">
      <c r="A29" s="19"/>
      <c r="B29" s="19"/>
      <c r="C29" s="19"/>
      <c r="D29" s="20"/>
      <c r="E29" s="21"/>
      <c r="F29" s="21"/>
      <c r="G29" s="21"/>
      <c r="H29" s="19"/>
      <c r="I29" s="19"/>
      <c r="J29" s="1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 x14ac:dyDescent="0.35">
      <c r="A30" s="19"/>
      <c r="B30" s="19"/>
      <c r="C30" s="19"/>
      <c r="D30" s="20"/>
      <c r="E30" s="21"/>
      <c r="F30" s="21"/>
      <c r="G30" s="21"/>
      <c r="H30" s="19"/>
      <c r="I30" s="19"/>
      <c r="J30" s="1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 x14ac:dyDescent="0.35">
      <c r="A31" s="19"/>
      <c r="B31" s="19"/>
      <c r="C31" s="19"/>
      <c r="D31" s="20"/>
      <c r="E31" s="21"/>
      <c r="F31" s="21"/>
      <c r="G31" s="21"/>
      <c r="H31" s="19"/>
      <c r="I31" s="19"/>
      <c r="J31" s="1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 x14ac:dyDescent="0.35">
      <c r="A32" s="19"/>
      <c r="B32" s="19"/>
      <c r="C32" s="19"/>
      <c r="D32" s="20"/>
      <c r="E32" s="21"/>
      <c r="F32" s="21"/>
      <c r="G32" s="21"/>
      <c r="H32" s="19"/>
      <c r="I32" s="19"/>
      <c r="J32" s="1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 x14ac:dyDescent="0.35">
      <c r="A33" s="19"/>
      <c r="B33" s="19"/>
      <c r="C33" s="19"/>
      <c r="D33" s="20"/>
      <c r="E33" s="21"/>
      <c r="F33" s="21"/>
      <c r="G33" s="21"/>
      <c r="H33" s="19"/>
      <c r="I33" s="19"/>
      <c r="J33" s="1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 x14ac:dyDescent="0.35">
      <c r="A34" s="19"/>
      <c r="B34" s="19"/>
      <c r="C34" s="19"/>
      <c r="D34" s="20"/>
      <c r="E34" s="21"/>
      <c r="F34" s="21"/>
      <c r="G34" s="21"/>
      <c r="H34" s="19"/>
      <c r="I34" s="19"/>
      <c r="J34" s="1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 x14ac:dyDescent="0.35">
      <c r="A35" s="19"/>
      <c r="B35" s="19"/>
      <c r="C35" s="19"/>
      <c r="D35" s="20"/>
      <c r="E35" s="21"/>
      <c r="F35" s="21"/>
      <c r="G35" s="21"/>
      <c r="H35" s="19"/>
      <c r="I35" s="19"/>
      <c r="J35" s="1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 x14ac:dyDescent="0.35">
      <c r="A36" s="19"/>
      <c r="B36" s="19"/>
      <c r="C36" s="19"/>
      <c r="D36" s="20"/>
      <c r="E36" s="21"/>
      <c r="F36" s="21"/>
      <c r="G36" s="21"/>
      <c r="H36" s="19"/>
      <c r="I36" s="19"/>
      <c r="J36" s="1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 x14ac:dyDescent="0.35">
      <c r="A37" s="19"/>
      <c r="B37" s="19"/>
      <c r="C37" s="19"/>
      <c r="D37" s="20"/>
      <c r="E37" s="21"/>
      <c r="F37" s="21"/>
      <c r="G37" s="21"/>
      <c r="H37" s="19"/>
      <c r="I37" s="19"/>
      <c r="J37" s="1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 x14ac:dyDescent="0.35">
      <c r="A38" s="19"/>
      <c r="B38" s="19"/>
      <c r="C38" s="19"/>
      <c r="D38" s="20"/>
      <c r="E38" s="21"/>
      <c r="F38" s="21"/>
      <c r="G38" s="21"/>
      <c r="H38" s="19"/>
      <c r="I38" s="19"/>
      <c r="J38" s="1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 x14ac:dyDescent="0.35">
      <c r="A39" s="19"/>
      <c r="B39" s="19"/>
      <c r="C39" s="19"/>
      <c r="D39" s="20"/>
      <c r="E39" s="21"/>
      <c r="F39" s="21"/>
      <c r="G39" s="21"/>
      <c r="H39" s="19"/>
      <c r="I39" s="19"/>
      <c r="J39" s="1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 x14ac:dyDescent="0.35">
      <c r="A40" s="19"/>
      <c r="B40" s="19"/>
      <c r="C40" s="19"/>
      <c r="D40" s="20"/>
      <c r="E40" s="21"/>
      <c r="F40" s="21"/>
      <c r="G40" s="21"/>
      <c r="H40" s="19"/>
      <c r="I40" s="19"/>
      <c r="J40" s="1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 x14ac:dyDescent="0.35">
      <c r="A41" s="19"/>
      <c r="B41" s="19"/>
      <c r="C41" s="19"/>
      <c r="D41" s="20"/>
      <c r="E41" s="21"/>
      <c r="F41" s="21"/>
      <c r="G41" s="21"/>
      <c r="H41" s="19"/>
      <c r="I41" s="19"/>
      <c r="J41" s="1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 x14ac:dyDescent="0.35">
      <c r="A42" s="19"/>
      <c r="B42" s="19"/>
      <c r="C42" s="19"/>
      <c r="D42" s="20"/>
      <c r="E42" s="21"/>
      <c r="F42" s="21"/>
      <c r="G42" s="21"/>
      <c r="H42" s="19"/>
      <c r="I42" s="19"/>
      <c r="J42" s="1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 x14ac:dyDescent="0.35">
      <c r="A43" s="19"/>
      <c r="B43" s="19"/>
      <c r="C43" s="19"/>
      <c r="D43" s="20"/>
      <c r="E43" s="21"/>
      <c r="F43" s="21"/>
      <c r="G43" s="21"/>
      <c r="H43" s="19"/>
      <c r="I43" s="19"/>
      <c r="J43" s="1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 x14ac:dyDescent="0.35">
      <c r="A44" s="19"/>
      <c r="B44" s="19"/>
      <c r="C44" s="19"/>
      <c r="D44" s="20"/>
      <c r="E44" s="21"/>
      <c r="F44" s="21"/>
      <c r="G44" s="21"/>
      <c r="H44" s="19"/>
      <c r="I44" s="19"/>
      <c r="J44" s="1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 x14ac:dyDescent="0.35">
      <c r="A45" s="19"/>
      <c r="B45" s="19"/>
      <c r="C45" s="19"/>
      <c r="D45" s="20"/>
      <c r="E45" s="21"/>
      <c r="F45" s="21"/>
      <c r="G45" s="21"/>
      <c r="H45" s="19"/>
      <c r="I45" s="19"/>
      <c r="J45" s="1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 x14ac:dyDescent="0.35">
      <c r="A46" s="19"/>
      <c r="B46" s="19"/>
      <c r="C46" s="19"/>
      <c r="D46" s="20"/>
      <c r="E46" s="21"/>
      <c r="F46" s="21"/>
      <c r="G46" s="21"/>
      <c r="H46" s="19"/>
      <c r="I46" s="19"/>
      <c r="J46" s="1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 x14ac:dyDescent="0.35">
      <c r="A47" s="19"/>
      <c r="B47" s="19"/>
      <c r="C47" s="19"/>
      <c r="D47" s="20"/>
      <c r="E47" s="21"/>
      <c r="F47" s="21"/>
      <c r="G47" s="21"/>
      <c r="H47" s="19"/>
      <c r="I47" s="19"/>
      <c r="J47" s="1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 x14ac:dyDescent="0.35">
      <c r="A48" s="19"/>
      <c r="B48" s="19"/>
      <c r="C48" s="19"/>
      <c r="D48" s="20"/>
      <c r="E48" s="21"/>
      <c r="F48" s="21"/>
      <c r="G48" s="21"/>
      <c r="H48" s="19"/>
      <c r="I48" s="19"/>
      <c r="J48" s="1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 x14ac:dyDescent="0.35">
      <c r="A49" s="19"/>
      <c r="B49" s="19"/>
      <c r="C49" s="19"/>
      <c r="D49" s="20"/>
      <c r="E49" s="21"/>
      <c r="F49" s="21"/>
      <c r="G49" s="21"/>
      <c r="H49" s="19"/>
      <c r="I49" s="19"/>
      <c r="J49" s="1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 x14ac:dyDescent="0.35">
      <c r="A50" s="19"/>
      <c r="B50" s="19"/>
      <c r="C50" s="19"/>
      <c r="D50" s="20"/>
      <c r="E50" s="21"/>
      <c r="F50" s="21"/>
      <c r="G50" s="21"/>
      <c r="H50" s="19"/>
      <c r="I50" s="19"/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 x14ac:dyDescent="0.35">
      <c r="A51" s="19"/>
      <c r="B51" s="19"/>
      <c r="C51" s="19"/>
      <c r="D51" s="20"/>
      <c r="E51" s="21"/>
      <c r="F51" s="21"/>
      <c r="G51" s="21"/>
      <c r="H51" s="19"/>
      <c r="I51" s="19"/>
      <c r="J51" s="1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 x14ac:dyDescent="0.35">
      <c r="A52" s="19"/>
      <c r="B52" s="19"/>
      <c r="C52" s="19"/>
      <c r="D52" s="20"/>
      <c r="E52" s="21"/>
      <c r="F52" s="21"/>
      <c r="G52" s="21"/>
      <c r="H52" s="19"/>
      <c r="I52" s="19"/>
      <c r="J52" s="1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 x14ac:dyDescent="0.35">
      <c r="A53" s="19"/>
      <c r="B53" s="19"/>
      <c r="C53" s="19"/>
      <c r="D53" s="20"/>
      <c r="E53" s="21"/>
      <c r="F53" s="21"/>
      <c r="G53" s="21"/>
      <c r="H53" s="19"/>
      <c r="I53" s="19"/>
      <c r="J53" s="1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 x14ac:dyDescent="0.35">
      <c r="A54" s="19"/>
      <c r="B54" s="19"/>
      <c r="C54" s="19"/>
      <c r="D54" s="20"/>
      <c r="E54" s="21"/>
      <c r="F54" s="21"/>
      <c r="G54" s="21"/>
      <c r="H54" s="19"/>
      <c r="I54" s="19"/>
      <c r="J54" s="1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 x14ac:dyDescent="0.35">
      <c r="A55" s="19"/>
      <c r="B55" s="19"/>
      <c r="C55" s="19"/>
      <c r="D55" s="20"/>
      <c r="E55" s="21"/>
      <c r="F55" s="21"/>
      <c r="G55" s="21"/>
      <c r="H55" s="19"/>
      <c r="I55" s="19"/>
      <c r="J55" s="1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 x14ac:dyDescent="0.35">
      <c r="A56" s="19"/>
      <c r="B56" s="19"/>
      <c r="C56" s="19"/>
      <c r="D56" s="20"/>
      <c r="E56" s="21"/>
      <c r="F56" s="21"/>
      <c r="G56" s="21"/>
      <c r="H56" s="19"/>
      <c r="I56" s="19"/>
      <c r="J56" s="1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35">
      <c r="A57" s="19"/>
      <c r="B57" s="19"/>
      <c r="C57" s="19"/>
      <c r="D57" s="20"/>
      <c r="E57" s="21"/>
      <c r="F57" s="21"/>
      <c r="G57" s="21"/>
      <c r="H57" s="19"/>
      <c r="I57" s="19"/>
      <c r="J57" s="1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35">
      <c r="A58" s="19"/>
      <c r="B58" s="19"/>
      <c r="C58" s="19"/>
      <c r="D58" s="20"/>
      <c r="E58" s="21"/>
      <c r="F58" s="21"/>
      <c r="G58" s="21"/>
      <c r="H58" s="19"/>
      <c r="I58" s="19"/>
      <c r="J58" s="1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x14ac:dyDescent="0.35">
      <c r="A59" s="19"/>
      <c r="B59" s="19"/>
      <c r="C59" s="19"/>
      <c r="D59" s="20"/>
      <c r="E59" s="21"/>
      <c r="F59" s="21"/>
      <c r="G59" s="21"/>
      <c r="H59" s="19"/>
      <c r="I59" s="19"/>
      <c r="J59" s="1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35">
      <c r="A60" s="19"/>
      <c r="B60" s="19"/>
      <c r="C60" s="19"/>
      <c r="D60" s="20"/>
      <c r="E60" s="21"/>
      <c r="F60" s="21"/>
      <c r="G60" s="21"/>
      <c r="H60" s="19"/>
      <c r="I60" s="19"/>
      <c r="J60" s="1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35">
      <c r="A61" s="19"/>
      <c r="B61" s="19"/>
      <c r="C61" s="19"/>
      <c r="D61" s="20"/>
      <c r="E61" s="21"/>
      <c r="F61" s="21"/>
      <c r="G61" s="21"/>
      <c r="H61" s="19"/>
      <c r="I61" s="19"/>
      <c r="J61" s="1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35">
      <c r="A62" s="19"/>
      <c r="B62" s="19"/>
      <c r="C62" s="19"/>
      <c r="D62" s="20"/>
      <c r="E62" s="21"/>
      <c r="F62" s="21"/>
      <c r="G62" s="21"/>
      <c r="H62" s="19"/>
      <c r="I62" s="19"/>
      <c r="J62" s="1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35">
      <c r="A63" s="19"/>
      <c r="B63" s="19"/>
      <c r="C63" s="19"/>
      <c r="D63" s="20"/>
      <c r="E63" s="21"/>
      <c r="F63" s="21"/>
      <c r="G63" s="21"/>
      <c r="H63" s="19"/>
      <c r="I63" s="19"/>
      <c r="J63" s="1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35">
      <c r="A64" s="19"/>
      <c r="B64" s="19"/>
      <c r="C64" s="19"/>
      <c r="D64" s="20"/>
      <c r="E64" s="21"/>
      <c r="F64" s="21"/>
      <c r="G64" s="21"/>
      <c r="H64" s="19"/>
      <c r="I64" s="19"/>
      <c r="J64" s="1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35">
      <c r="A65" s="19"/>
      <c r="B65" s="19"/>
      <c r="C65" s="19"/>
      <c r="D65" s="20"/>
      <c r="E65" s="21"/>
      <c r="F65" s="21"/>
      <c r="G65" s="21"/>
      <c r="H65" s="19"/>
      <c r="I65" s="19"/>
      <c r="J65" s="1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35">
      <c r="A66" s="19"/>
      <c r="B66" s="19"/>
      <c r="C66" s="19"/>
      <c r="D66" s="20"/>
      <c r="E66" s="21"/>
      <c r="F66" s="21"/>
      <c r="G66" s="21"/>
      <c r="H66" s="19"/>
      <c r="I66" s="19"/>
      <c r="J66" s="1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35">
      <c r="A67" s="19"/>
      <c r="B67" s="19"/>
      <c r="C67" s="19"/>
      <c r="D67" s="20"/>
      <c r="E67" s="21"/>
      <c r="F67" s="21"/>
      <c r="G67" s="21"/>
      <c r="H67" s="19"/>
      <c r="I67" s="19"/>
      <c r="J67" s="1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35">
      <c r="A68" s="19"/>
      <c r="B68" s="19"/>
      <c r="C68" s="19"/>
      <c r="D68" s="20"/>
      <c r="E68" s="21"/>
      <c r="F68" s="21"/>
      <c r="G68" s="21"/>
      <c r="H68" s="19"/>
      <c r="I68" s="19"/>
      <c r="J68" s="1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35">
      <c r="A69" s="19"/>
      <c r="B69" s="19"/>
      <c r="C69" s="19"/>
      <c r="D69" s="20"/>
      <c r="E69" s="21"/>
      <c r="F69" s="21"/>
      <c r="G69" s="21"/>
      <c r="H69" s="19"/>
      <c r="I69" s="19"/>
      <c r="J69" s="1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35">
      <c r="A70" s="19"/>
      <c r="B70" s="19"/>
      <c r="C70" s="19"/>
      <c r="D70" s="20"/>
      <c r="E70" s="21"/>
      <c r="F70" s="21"/>
      <c r="G70" s="21"/>
      <c r="H70" s="19"/>
      <c r="I70" s="19"/>
      <c r="J70" s="1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35">
      <c r="A71" s="19"/>
      <c r="B71" s="19"/>
      <c r="C71" s="19"/>
      <c r="D71" s="20"/>
      <c r="E71" s="21"/>
      <c r="F71" s="21"/>
      <c r="G71" s="21"/>
      <c r="H71" s="19"/>
      <c r="I71" s="19"/>
      <c r="J71" s="1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35">
      <c r="A72" s="19"/>
      <c r="B72" s="19"/>
      <c r="C72" s="19"/>
      <c r="D72" s="20"/>
      <c r="E72" s="21"/>
      <c r="F72" s="21"/>
      <c r="G72" s="21"/>
      <c r="H72" s="19"/>
      <c r="I72" s="19"/>
      <c r="J72" s="1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35">
      <c r="A73" s="19"/>
      <c r="B73" s="19"/>
      <c r="C73" s="19"/>
      <c r="D73" s="20"/>
      <c r="E73" s="21"/>
      <c r="F73" s="21"/>
      <c r="G73" s="21"/>
      <c r="H73" s="19"/>
      <c r="I73" s="19"/>
      <c r="J73" s="1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35">
      <c r="A74" s="19"/>
      <c r="B74" s="19"/>
      <c r="C74" s="19"/>
      <c r="D74" s="20"/>
      <c r="E74" s="21"/>
      <c r="F74" s="21"/>
      <c r="G74" s="21"/>
      <c r="H74" s="19"/>
      <c r="I74" s="19"/>
      <c r="J74" s="1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35">
      <c r="A75" s="19"/>
      <c r="B75" s="19"/>
      <c r="C75" s="19"/>
      <c r="D75" s="20"/>
      <c r="E75" s="21"/>
      <c r="F75" s="21"/>
      <c r="G75" s="21"/>
      <c r="H75" s="19"/>
      <c r="I75" s="19"/>
      <c r="J75" s="1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35">
      <c r="A76" s="19"/>
      <c r="B76" s="19"/>
      <c r="C76" s="19"/>
      <c r="D76" s="20"/>
      <c r="E76" s="21"/>
      <c r="F76" s="21"/>
      <c r="G76" s="21"/>
      <c r="H76" s="19"/>
      <c r="I76" s="19"/>
      <c r="J76" s="1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35">
      <c r="A77" s="19"/>
      <c r="B77" s="19"/>
      <c r="C77" s="19"/>
      <c r="D77" s="20"/>
      <c r="E77" s="21"/>
      <c r="F77" s="21"/>
      <c r="G77" s="21"/>
      <c r="H77" s="19"/>
      <c r="I77" s="19"/>
      <c r="J77" s="1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35">
      <c r="A78" s="19"/>
      <c r="B78" s="19"/>
      <c r="C78" s="19"/>
      <c r="D78" s="20"/>
      <c r="E78" s="21"/>
      <c r="F78" s="21"/>
      <c r="G78" s="21"/>
      <c r="H78" s="19"/>
      <c r="I78" s="19"/>
      <c r="J78" s="1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35">
      <c r="A79" s="19"/>
      <c r="B79" s="19"/>
      <c r="C79" s="19"/>
      <c r="D79" s="20"/>
      <c r="E79" s="21"/>
      <c r="F79" s="21"/>
      <c r="G79" s="21"/>
      <c r="H79" s="19"/>
      <c r="I79" s="19"/>
      <c r="J79" s="1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35">
      <c r="A80" s="19"/>
      <c r="B80" s="19"/>
      <c r="C80" s="19"/>
      <c r="D80" s="20"/>
      <c r="E80" s="21"/>
      <c r="F80" s="21"/>
      <c r="G80" s="21"/>
      <c r="H80" s="19"/>
      <c r="I80" s="19"/>
      <c r="J80" s="1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35">
      <c r="A81" s="19"/>
      <c r="B81" s="19"/>
      <c r="C81" s="19"/>
      <c r="D81" s="20"/>
      <c r="E81" s="21"/>
      <c r="F81" s="21"/>
      <c r="G81" s="21"/>
      <c r="H81" s="19"/>
      <c r="I81" s="19"/>
      <c r="J81" s="1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35">
      <c r="A82" s="19"/>
      <c r="B82" s="19"/>
      <c r="C82" s="19"/>
      <c r="D82" s="20"/>
      <c r="E82" s="21"/>
      <c r="F82" s="21"/>
      <c r="G82" s="21"/>
      <c r="H82" s="19"/>
      <c r="I82" s="19"/>
      <c r="J82" s="1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35">
      <c r="A83" s="19"/>
      <c r="B83" s="19"/>
      <c r="C83" s="19"/>
      <c r="D83" s="20"/>
      <c r="E83" s="21"/>
      <c r="F83" s="21"/>
      <c r="G83" s="21"/>
      <c r="H83" s="19"/>
      <c r="I83" s="19"/>
      <c r="J83" s="1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35">
      <c r="A84" s="19"/>
      <c r="B84" s="19"/>
      <c r="C84" s="19"/>
      <c r="D84" s="20"/>
      <c r="E84" s="21"/>
      <c r="F84" s="21"/>
      <c r="G84" s="21"/>
      <c r="H84" s="19"/>
      <c r="I84" s="19"/>
      <c r="J84" s="1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35">
      <c r="A85" s="19"/>
      <c r="B85" s="19"/>
      <c r="C85" s="19"/>
      <c r="D85" s="20"/>
      <c r="E85" s="21"/>
      <c r="F85" s="21"/>
      <c r="G85" s="21"/>
      <c r="H85" s="19"/>
      <c r="I85" s="19"/>
      <c r="J85" s="1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35">
      <c r="A86" s="19"/>
      <c r="B86" s="19"/>
      <c r="C86" s="19"/>
      <c r="D86" s="20"/>
      <c r="E86" s="21"/>
      <c r="F86" s="21"/>
      <c r="G86" s="21"/>
      <c r="H86" s="19"/>
      <c r="I86" s="19"/>
      <c r="J86" s="1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35">
      <c r="A87" s="19"/>
      <c r="B87" s="19"/>
      <c r="C87" s="19"/>
      <c r="D87" s="20"/>
      <c r="E87" s="21"/>
      <c r="F87" s="21"/>
      <c r="G87" s="21"/>
      <c r="H87" s="19"/>
      <c r="I87" s="19"/>
      <c r="J87" s="1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35">
      <c r="A88" s="19"/>
      <c r="B88" s="19"/>
      <c r="C88" s="19"/>
      <c r="D88" s="20"/>
      <c r="E88" s="21"/>
      <c r="F88" s="21"/>
      <c r="G88" s="21"/>
      <c r="H88" s="19"/>
      <c r="I88" s="19"/>
      <c r="J88" s="1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35">
      <c r="A89" s="19"/>
      <c r="B89" s="19"/>
      <c r="C89" s="19"/>
      <c r="D89" s="20"/>
      <c r="E89" s="21"/>
      <c r="F89" s="21"/>
      <c r="G89" s="21"/>
      <c r="H89" s="19"/>
      <c r="I89" s="19"/>
      <c r="J89" s="1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35">
      <c r="A90" s="19"/>
      <c r="B90" s="19"/>
      <c r="C90" s="19"/>
      <c r="D90" s="20"/>
      <c r="E90" s="21"/>
      <c r="F90" s="21"/>
      <c r="G90" s="21"/>
      <c r="H90" s="19"/>
      <c r="I90" s="19"/>
      <c r="J90" s="1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35">
      <c r="A91" s="19"/>
      <c r="B91" s="19"/>
      <c r="C91" s="19"/>
      <c r="D91" s="20"/>
      <c r="E91" s="21"/>
      <c r="F91" s="21"/>
      <c r="G91" s="21"/>
      <c r="H91" s="19"/>
      <c r="I91" s="19"/>
      <c r="J91" s="1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35">
      <c r="A92" s="19"/>
      <c r="B92" s="19"/>
      <c r="C92" s="19"/>
      <c r="D92" s="20"/>
      <c r="E92" s="21"/>
      <c r="F92" s="21"/>
      <c r="G92" s="21"/>
      <c r="H92" s="19"/>
      <c r="I92" s="19"/>
      <c r="J92" s="1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35">
      <c r="A93" s="19"/>
      <c r="B93" s="19"/>
      <c r="C93" s="19"/>
      <c r="D93" s="20"/>
      <c r="E93" s="21"/>
      <c r="F93" s="21"/>
      <c r="G93" s="21"/>
      <c r="H93" s="19"/>
      <c r="I93" s="19"/>
      <c r="J93" s="1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35">
      <c r="A94" s="19"/>
      <c r="B94" s="19"/>
      <c r="C94" s="19"/>
      <c r="D94" s="20"/>
      <c r="E94" s="21"/>
      <c r="F94" s="21"/>
      <c r="G94" s="21"/>
      <c r="H94" s="19"/>
      <c r="I94" s="19"/>
      <c r="J94" s="1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35">
      <c r="A95" s="19"/>
      <c r="B95" s="19"/>
      <c r="C95" s="19"/>
      <c r="D95" s="20"/>
      <c r="E95" s="21"/>
      <c r="F95" s="21"/>
      <c r="G95" s="21"/>
      <c r="H95" s="19"/>
      <c r="I95" s="19"/>
      <c r="J95" s="1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35">
      <c r="A96" s="19"/>
      <c r="B96" s="19"/>
      <c r="C96" s="19"/>
      <c r="D96" s="20"/>
      <c r="E96" s="21"/>
      <c r="F96" s="21"/>
      <c r="G96" s="21"/>
      <c r="H96" s="19"/>
      <c r="I96" s="19"/>
      <c r="J96" s="1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35">
      <c r="A97" s="19"/>
      <c r="B97" s="19"/>
      <c r="C97" s="19"/>
      <c r="D97" s="20"/>
      <c r="E97" s="21"/>
      <c r="F97" s="21"/>
      <c r="G97" s="21"/>
      <c r="H97" s="19"/>
      <c r="I97" s="19"/>
      <c r="J97" s="1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</sheetData>
  <mergeCells count="37">
    <mergeCell ref="F15:I15"/>
    <mergeCell ref="F16:I16"/>
    <mergeCell ref="F23:I23"/>
    <mergeCell ref="F17:I17"/>
    <mergeCell ref="F21:I21"/>
    <mergeCell ref="A20:E20"/>
    <mergeCell ref="A21:E21"/>
    <mergeCell ref="A23:E23"/>
    <mergeCell ref="F19:I19"/>
    <mergeCell ref="F20:I20"/>
    <mergeCell ref="A22:E22"/>
    <mergeCell ref="A18:E19"/>
    <mergeCell ref="F22:I22"/>
    <mergeCell ref="F10:G10"/>
    <mergeCell ref="I11:I14"/>
    <mergeCell ref="F18:I18"/>
    <mergeCell ref="A5:E6"/>
    <mergeCell ref="F5:I6"/>
    <mergeCell ref="A7:E7"/>
    <mergeCell ref="F8:I8"/>
    <mergeCell ref="A9:E9"/>
    <mergeCell ref="F9:I9"/>
    <mergeCell ref="A8:E8"/>
    <mergeCell ref="A15:E15"/>
    <mergeCell ref="A13:G13"/>
    <mergeCell ref="F11:G11"/>
    <mergeCell ref="A12:G12"/>
    <mergeCell ref="A14:G14"/>
    <mergeCell ref="A16:E16"/>
    <mergeCell ref="F7:I7"/>
    <mergeCell ref="A1:I1"/>
    <mergeCell ref="A3:E3"/>
    <mergeCell ref="F3:I3"/>
    <mergeCell ref="A4:E4"/>
    <mergeCell ref="F4:I4"/>
    <mergeCell ref="A2:E2"/>
    <mergeCell ref="G2:I2"/>
  </mergeCells>
  <phoneticPr fontId="17" type="noConversion"/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8D92-DE33-4308-94C7-8802BB14D989}">
  <dimension ref="A1:M32"/>
  <sheetViews>
    <sheetView tabSelected="1" zoomScale="70" zoomScaleNormal="70" workbookViewId="0">
      <selection activeCell="K7" sqref="K7"/>
    </sheetView>
  </sheetViews>
  <sheetFormatPr defaultColWidth="9.08984375" defaultRowHeight="14" x14ac:dyDescent="0.35"/>
  <cols>
    <col min="1" max="1" width="16.81640625" style="43" customWidth="1"/>
    <col min="2" max="2" width="23" style="43" customWidth="1"/>
    <col min="3" max="3" width="29.453125" style="43" customWidth="1"/>
    <col min="4" max="4" width="15.36328125" style="43" customWidth="1"/>
    <col min="5" max="5" width="11.81640625" style="43" customWidth="1"/>
    <col min="6" max="6" width="18.453125" style="43" customWidth="1"/>
    <col min="7" max="7" width="18.6328125" style="43" customWidth="1"/>
    <col min="8" max="8" width="19.1796875" style="43" customWidth="1"/>
    <col min="9" max="9" width="19.453125" style="43" customWidth="1"/>
    <col min="10" max="10" width="9.08984375" style="43"/>
    <col min="11" max="11" width="12" style="43" bestFit="1" customWidth="1"/>
    <col min="12" max="12" width="9.08984375" style="43"/>
    <col min="13" max="13" width="15.08984375" style="43" bestFit="1" customWidth="1"/>
    <col min="14" max="16384" width="9.08984375" style="43"/>
  </cols>
  <sheetData>
    <row r="1" spans="1:13" ht="73.5" customHeight="1" x14ac:dyDescent="0.35">
      <c r="A1" s="89" t="s">
        <v>49</v>
      </c>
      <c r="B1" s="89"/>
      <c r="C1" s="89"/>
      <c r="D1" s="89"/>
      <c r="E1" s="89"/>
      <c r="F1" s="89"/>
      <c r="G1" s="89"/>
      <c r="H1" s="89"/>
      <c r="I1" s="89"/>
    </row>
    <row r="2" spans="1:13" ht="30" customHeight="1" x14ac:dyDescent="0.35">
      <c r="A2" s="90" t="s">
        <v>126</v>
      </c>
      <c r="B2" s="90"/>
      <c r="C2" s="90"/>
      <c r="D2" s="90"/>
      <c r="E2" s="90"/>
      <c r="F2" s="90"/>
      <c r="G2" s="90"/>
      <c r="H2" s="90"/>
      <c r="I2" s="90"/>
    </row>
    <row r="3" spans="1:13" ht="42.75" customHeight="1" x14ac:dyDescent="0.35">
      <c r="A3" s="89" t="s">
        <v>50</v>
      </c>
      <c r="B3" s="89"/>
      <c r="C3" s="89"/>
      <c r="D3" s="89" t="s">
        <v>51</v>
      </c>
      <c r="E3" s="89"/>
      <c r="F3" s="89"/>
      <c r="G3" s="89"/>
      <c r="H3" s="89"/>
      <c r="I3" s="89"/>
    </row>
    <row r="4" spans="1:13" ht="36" customHeight="1" x14ac:dyDescent="0.35">
      <c r="A4" s="89" t="s">
        <v>110</v>
      </c>
      <c r="B4" s="89"/>
      <c r="C4" s="89"/>
      <c r="D4" s="89" t="str">
        <f>'[1]2025年-设备报价(英-中）'!C12</f>
        <v>CÔNG TY TNHH VMD HVAC VIỆT NAM</v>
      </c>
      <c r="E4" s="89"/>
      <c r="F4" s="89"/>
      <c r="G4" s="89"/>
      <c r="H4" s="89"/>
      <c r="I4" s="89"/>
    </row>
    <row r="5" spans="1:13" ht="19.5" customHeight="1" x14ac:dyDescent="0.35">
      <c r="A5" s="87"/>
      <c r="B5" s="87"/>
      <c r="C5" s="87"/>
      <c r="D5" s="87" t="str">
        <f>'[1]2025年-设备报价(英-中）'!C11</f>
        <v>VMD（越南）暖通有限责任公司</v>
      </c>
      <c r="E5" s="87"/>
      <c r="F5" s="87"/>
      <c r="G5" s="87"/>
      <c r="H5" s="87"/>
      <c r="I5" s="87"/>
    </row>
    <row r="6" spans="1:13" ht="54" x14ac:dyDescent="0.35">
      <c r="A6" s="36" t="s">
        <v>52</v>
      </c>
      <c r="B6" s="88" t="s">
        <v>111</v>
      </c>
      <c r="C6" s="88"/>
      <c r="D6" s="36" t="s">
        <v>52</v>
      </c>
      <c r="E6" s="64" t="s">
        <v>53</v>
      </c>
      <c r="F6" s="64"/>
      <c r="G6" s="64"/>
      <c r="H6" s="64"/>
      <c r="I6" s="64"/>
    </row>
    <row r="7" spans="1:13" ht="36" x14ac:dyDescent="0.35">
      <c r="A7" s="36" t="s">
        <v>54</v>
      </c>
      <c r="B7" s="74" t="s">
        <v>112</v>
      </c>
      <c r="C7" s="75"/>
      <c r="D7" s="36" t="s">
        <v>54</v>
      </c>
      <c r="E7" s="76" t="s">
        <v>55</v>
      </c>
      <c r="F7" s="77"/>
      <c r="G7" s="77"/>
      <c r="H7" s="77"/>
      <c r="I7" s="78"/>
    </row>
    <row r="8" spans="1:13" ht="54" x14ac:dyDescent="0.35">
      <c r="A8" s="36" t="s">
        <v>56</v>
      </c>
      <c r="B8" s="76" t="s">
        <v>113</v>
      </c>
      <c r="C8" s="78"/>
      <c r="D8" s="36"/>
      <c r="E8" s="76" t="s">
        <v>93</v>
      </c>
      <c r="F8" s="77"/>
      <c r="G8" s="77"/>
      <c r="H8" s="77"/>
      <c r="I8" s="78"/>
    </row>
    <row r="9" spans="1:13" ht="36" x14ac:dyDescent="0.35">
      <c r="A9" s="36" t="s">
        <v>57</v>
      </c>
      <c r="B9" s="86" t="s">
        <v>108</v>
      </c>
      <c r="C9" s="75"/>
      <c r="D9" s="36" t="s">
        <v>57</v>
      </c>
      <c r="E9" s="76" t="s">
        <v>58</v>
      </c>
      <c r="F9" s="77"/>
      <c r="G9" s="77"/>
      <c r="H9" s="77"/>
      <c r="I9" s="78"/>
    </row>
    <row r="10" spans="1:13" ht="36" x14ac:dyDescent="0.35">
      <c r="A10" s="36" t="s">
        <v>59</v>
      </c>
      <c r="B10" s="74" t="s">
        <v>114</v>
      </c>
      <c r="C10" s="75"/>
      <c r="D10" s="36" t="s">
        <v>59</v>
      </c>
      <c r="E10" s="76" t="s">
        <v>60</v>
      </c>
      <c r="F10" s="77"/>
      <c r="G10" s="77"/>
      <c r="H10" s="77"/>
      <c r="I10" s="78"/>
    </row>
    <row r="11" spans="1:13" ht="54" x14ac:dyDescent="0.35">
      <c r="A11" s="36" t="s">
        <v>61</v>
      </c>
      <c r="B11" s="74" t="s">
        <v>114</v>
      </c>
      <c r="C11" s="75"/>
      <c r="D11" s="36" t="s">
        <v>61</v>
      </c>
      <c r="E11" s="76" t="s">
        <v>60</v>
      </c>
      <c r="F11" s="77"/>
      <c r="G11" s="77"/>
      <c r="H11" s="77"/>
      <c r="I11" s="78"/>
    </row>
    <row r="12" spans="1:13" ht="42" customHeight="1" x14ac:dyDescent="0.35">
      <c r="A12" s="37" t="s">
        <v>62</v>
      </c>
      <c r="B12" s="79" t="s">
        <v>123</v>
      </c>
      <c r="C12" s="79"/>
      <c r="D12" s="79"/>
      <c r="E12" s="79"/>
      <c r="F12" s="79"/>
      <c r="G12" s="79"/>
      <c r="H12" s="79"/>
      <c r="I12" s="79"/>
    </row>
    <row r="13" spans="1:13" ht="52.5" x14ac:dyDescent="0.35">
      <c r="A13" s="35" t="s">
        <v>63</v>
      </c>
      <c r="B13" s="35" t="s">
        <v>64</v>
      </c>
      <c r="C13" s="38" t="s">
        <v>65</v>
      </c>
      <c r="D13" s="38" t="s">
        <v>66</v>
      </c>
      <c r="E13" s="35" t="s">
        <v>67</v>
      </c>
      <c r="F13" s="39" t="s">
        <v>68</v>
      </c>
      <c r="G13" s="39" t="s">
        <v>101</v>
      </c>
      <c r="H13" s="39" t="s">
        <v>69</v>
      </c>
      <c r="I13" s="39" t="s">
        <v>70</v>
      </c>
      <c r="L13" s="48"/>
    </row>
    <row r="14" spans="1:13" ht="35" customHeight="1" x14ac:dyDescent="0.35">
      <c r="A14" s="50">
        <v>1</v>
      </c>
      <c r="B14" s="35" t="s">
        <v>105</v>
      </c>
      <c r="C14" s="38" t="s">
        <v>104</v>
      </c>
      <c r="D14" s="51" t="s">
        <v>102</v>
      </c>
      <c r="E14" s="49">
        <v>1</v>
      </c>
      <c r="F14" s="53">
        <v>25680000</v>
      </c>
      <c r="G14" s="53">
        <f>F14*(1-40%)</f>
        <v>15408000</v>
      </c>
      <c r="H14" s="53">
        <f>(F14*E14)*(1-40%)</f>
        <v>15408000</v>
      </c>
      <c r="I14" s="83" t="s">
        <v>100</v>
      </c>
      <c r="L14" s="48"/>
    </row>
    <row r="15" spans="1:13" ht="35" customHeight="1" x14ac:dyDescent="0.35">
      <c r="A15" s="50">
        <v>2</v>
      </c>
      <c r="B15" s="35" t="s">
        <v>106</v>
      </c>
      <c r="C15" s="38" t="s">
        <v>103</v>
      </c>
      <c r="D15" s="51" t="s">
        <v>102</v>
      </c>
      <c r="E15" s="49">
        <v>4</v>
      </c>
      <c r="F15" s="53">
        <v>19159000</v>
      </c>
      <c r="G15" s="53">
        <f t="shared" ref="G15:G16" si="0">F15*(1-40%)</f>
        <v>11495400</v>
      </c>
      <c r="H15" s="53">
        <f>(F15*E15)*(1-40%)</f>
        <v>45981600</v>
      </c>
      <c r="I15" s="84"/>
      <c r="L15" s="48"/>
    </row>
    <row r="16" spans="1:13" ht="35" customHeight="1" x14ac:dyDescent="0.35">
      <c r="A16" s="50">
        <v>3</v>
      </c>
      <c r="B16" s="47" t="s">
        <v>107</v>
      </c>
      <c r="C16" s="47" t="s">
        <v>99</v>
      </c>
      <c r="D16" s="51" t="s">
        <v>102</v>
      </c>
      <c r="E16" s="46">
        <v>1</v>
      </c>
      <c r="F16" s="52">
        <v>13485000</v>
      </c>
      <c r="G16" s="53">
        <f t="shared" si="0"/>
        <v>8091000</v>
      </c>
      <c r="H16" s="53">
        <f>(F16*E16)*(1-40%)</f>
        <v>8091000</v>
      </c>
      <c r="I16" s="85"/>
      <c r="M16" s="44"/>
    </row>
    <row r="17" spans="1:13" ht="35" customHeight="1" x14ac:dyDescent="0.35">
      <c r="A17" s="50">
        <f>A16+1</f>
        <v>4</v>
      </c>
      <c r="B17" s="47" t="s">
        <v>115</v>
      </c>
      <c r="C17" s="47" t="s">
        <v>117</v>
      </c>
      <c r="D17" s="51" t="s">
        <v>102</v>
      </c>
      <c r="E17" s="46">
        <v>1</v>
      </c>
      <c r="F17" s="52">
        <v>18980000</v>
      </c>
      <c r="G17" s="53">
        <v>0</v>
      </c>
      <c r="H17" s="53">
        <f>F17</f>
        <v>18980000</v>
      </c>
      <c r="I17" s="56"/>
      <c r="M17" s="44"/>
    </row>
    <row r="18" spans="1:13" ht="35" customHeight="1" x14ac:dyDescent="0.35">
      <c r="A18" s="50">
        <f t="shared" ref="A18:A20" si="1">A17+1</f>
        <v>5</v>
      </c>
      <c r="B18" s="47" t="s">
        <v>116</v>
      </c>
      <c r="C18" s="47" t="s">
        <v>118</v>
      </c>
      <c r="D18" s="51" t="s">
        <v>102</v>
      </c>
      <c r="E18" s="46">
        <v>2</v>
      </c>
      <c r="F18" s="52">
        <v>17020000</v>
      </c>
      <c r="G18" s="53">
        <v>0</v>
      </c>
      <c r="H18" s="53">
        <f>F18*E18</f>
        <v>34040000</v>
      </c>
      <c r="I18" s="56"/>
      <c r="M18" s="44"/>
    </row>
    <row r="19" spans="1:13" ht="35" customHeight="1" x14ac:dyDescent="0.35">
      <c r="A19" s="50">
        <f t="shared" si="1"/>
        <v>6</v>
      </c>
      <c r="B19" s="55" t="s">
        <v>119</v>
      </c>
      <c r="C19" s="47" t="s">
        <v>121</v>
      </c>
      <c r="D19" s="51" t="s">
        <v>102</v>
      </c>
      <c r="E19" s="46">
        <v>1</v>
      </c>
      <c r="F19" s="52">
        <v>2000000</v>
      </c>
      <c r="G19" s="53">
        <v>0</v>
      </c>
      <c r="H19" s="53">
        <f>F19</f>
        <v>2000000</v>
      </c>
      <c r="I19" s="56"/>
      <c r="M19" s="44"/>
    </row>
    <row r="20" spans="1:13" ht="35" customHeight="1" x14ac:dyDescent="0.35">
      <c r="A20" s="50">
        <f t="shared" si="1"/>
        <v>7</v>
      </c>
      <c r="B20" s="55" t="s">
        <v>120</v>
      </c>
      <c r="C20" s="47" t="s">
        <v>122</v>
      </c>
      <c r="D20" s="51" t="s">
        <v>102</v>
      </c>
      <c r="E20" s="46">
        <v>1</v>
      </c>
      <c r="F20" s="52">
        <v>1600000</v>
      </c>
      <c r="G20" s="53">
        <v>0</v>
      </c>
      <c r="H20" s="53">
        <f>F20</f>
        <v>1600000</v>
      </c>
      <c r="I20" s="56"/>
      <c r="M20" s="44"/>
    </row>
    <row r="21" spans="1:13" ht="32" customHeight="1" x14ac:dyDescent="0.35">
      <c r="A21" s="80" t="s">
        <v>71</v>
      </c>
      <c r="B21" s="80"/>
      <c r="C21" s="80"/>
      <c r="D21" s="80"/>
      <c r="E21" s="40"/>
      <c r="F21" s="54"/>
      <c r="G21" s="40"/>
      <c r="H21" s="41">
        <f>SUM(H14:H20)</f>
        <v>126100600</v>
      </c>
      <c r="I21" s="56"/>
      <c r="M21" s="45"/>
    </row>
    <row r="22" spans="1:13" ht="26.5" customHeight="1" x14ac:dyDescent="0.35">
      <c r="A22" s="80" t="s">
        <v>72</v>
      </c>
      <c r="B22" s="80"/>
      <c r="C22" s="80"/>
      <c r="D22" s="80"/>
      <c r="E22" s="81"/>
      <c r="F22" s="81"/>
      <c r="G22" s="81"/>
      <c r="H22" s="81"/>
      <c r="I22" s="81"/>
    </row>
    <row r="23" spans="1:13" ht="26.5" customHeight="1" x14ac:dyDescent="0.35">
      <c r="A23" s="80" t="s">
        <v>73</v>
      </c>
      <c r="B23" s="80"/>
      <c r="C23" s="80"/>
      <c r="D23" s="80"/>
      <c r="E23" s="82" t="s">
        <v>109</v>
      </c>
      <c r="F23" s="82"/>
      <c r="G23" s="82"/>
      <c r="H23" s="82"/>
      <c r="I23" s="82"/>
    </row>
    <row r="24" spans="1:13" ht="58" customHeight="1" x14ac:dyDescent="0.35">
      <c r="A24" s="42" t="s">
        <v>74</v>
      </c>
      <c r="B24" s="63" t="s">
        <v>98</v>
      </c>
      <c r="C24" s="63"/>
      <c r="D24" s="42" t="s">
        <v>75</v>
      </c>
      <c r="E24" s="63" t="s">
        <v>94</v>
      </c>
      <c r="F24" s="63"/>
      <c r="G24" s="63"/>
      <c r="H24" s="63"/>
      <c r="I24" s="63"/>
    </row>
    <row r="25" spans="1:13" ht="38" customHeight="1" x14ac:dyDescent="0.35">
      <c r="A25" s="42" t="s">
        <v>76</v>
      </c>
      <c r="B25" s="63" t="s">
        <v>96</v>
      </c>
      <c r="C25" s="63"/>
      <c r="D25" s="42" t="s">
        <v>77</v>
      </c>
      <c r="E25" s="63" t="s">
        <v>78</v>
      </c>
      <c r="F25" s="63"/>
      <c r="G25" s="63"/>
      <c r="H25" s="63"/>
      <c r="I25" s="63"/>
    </row>
    <row r="26" spans="1:13" ht="38" customHeight="1" x14ac:dyDescent="0.35">
      <c r="A26" s="42" t="s">
        <v>79</v>
      </c>
      <c r="B26" s="72" t="s">
        <v>95</v>
      </c>
      <c r="C26" s="72"/>
      <c r="D26" s="42" t="s">
        <v>80</v>
      </c>
      <c r="E26" s="63" t="s">
        <v>81</v>
      </c>
      <c r="F26" s="63"/>
      <c r="G26" s="63"/>
      <c r="H26" s="63"/>
      <c r="I26" s="63"/>
    </row>
    <row r="27" spans="1:13" ht="38" customHeight="1" x14ac:dyDescent="0.35">
      <c r="A27" s="42" t="s">
        <v>82</v>
      </c>
      <c r="B27" s="73" t="s">
        <v>97</v>
      </c>
      <c r="C27" s="73"/>
      <c r="D27" s="42" t="s">
        <v>83</v>
      </c>
      <c r="E27" s="63" t="s">
        <v>84</v>
      </c>
      <c r="F27" s="63"/>
      <c r="G27" s="63"/>
      <c r="H27" s="63"/>
      <c r="I27" s="63"/>
    </row>
    <row r="28" spans="1:13" ht="38" customHeight="1" x14ac:dyDescent="0.35">
      <c r="A28" s="42" t="s">
        <v>85</v>
      </c>
      <c r="B28" s="63" t="s">
        <v>124</v>
      </c>
      <c r="C28" s="63"/>
      <c r="D28" s="42" t="s">
        <v>86</v>
      </c>
      <c r="E28" s="63" t="s">
        <v>87</v>
      </c>
      <c r="F28" s="63"/>
      <c r="G28" s="63"/>
      <c r="H28" s="63"/>
      <c r="I28" s="63"/>
    </row>
    <row r="29" spans="1:13" ht="38" customHeight="1" x14ac:dyDescent="0.35">
      <c r="A29" s="36" t="s">
        <v>88</v>
      </c>
      <c r="B29" s="64" t="s">
        <v>125</v>
      </c>
      <c r="C29" s="64"/>
      <c r="D29" s="42" t="s">
        <v>89</v>
      </c>
      <c r="E29" s="65" t="s">
        <v>90</v>
      </c>
      <c r="F29" s="65"/>
      <c r="G29" s="65"/>
      <c r="H29" s="65"/>
      <c r="I29" s="65"/>
    </row>
    <row r="30" spans="1:13" ht="204" customHeight="1" x14ac:dyDescent="0.35">
      <c r="A30" s="66" t="s">
        <v>91</v>
      </c>
      <c r="B30" s="67"/>
      <c r="C30" s="68"/>
      <c r="D30" s="69" t="s">
        <v>92</v>
      </c>
      <c r="E30" s="70"/>
      <c r="F30" s="70"/>
      <c r="G30" s="70"/>
      <c r="H30" s="70"/>
      <c r="I30" s="71"/>
    </row>
    <row r="31" spans="1:13" ht="17.5" x14ac:dyDescent="0.35">
      <c r="A31" s="57" t="str">
        <f>B9</f>
        <v>Giám Đốc</v>
      </c>
      <c r="B31" s="58"/>
      <c r="C31" s="59"/>
      <c r="D31" s="57" t="str">
        <f>E9</f>
        <v>Tổng Giám Đốc</v>
      </c>
      <c r="E31" s="58"/>
      <c r="F31" s="58"/>
      <c r="G31" s="58"/>
      <c r="H31" s="58"/>
      <c r="I31" s="59"/>
    </row>
    <row r="32" spans="1:13" ht="17.5" x14ac:dyDescent="0.35">
      <c r="A32" s="60" t="str">
        <f>B8</f>
        <v>VŨ THỊ HOÀI THU</v>
      </c>
      <c r="B32" s="61"/>
      <c r="C32" s="62"/>
      <c r="D32" s="60" t="str">
        <f>E8</f>
        <v>HU ZHI HUI</v>
      </c>
      <c r="E32" s="61"/>
      <c r="F32" s="61"/>
      <c r="G32" s="61"/>
      <c r="H32" s="61"/>
      <c r="I32" s="62"/>
    </row>
  </sheetData>
  <mergeCells count="45">
    <mergeCell ref="A1:I1"/>
    <mergeCell ref="A2:I2"/>
    <mergeCell ref="A3:C3"/>
    <mergeCell ref="D3:I3"/>
    <mergeCell ref="A4:C4"/>
    <mergeCell ref="D4:I4"/>
    <mergeCell ref="A5:C5"/>
    <mergeCell ref="D5:I5"/>
    <mergeCell ref="B6:C6"/>
    <mergeCell ref="E6:I6"/>
    <mergeCell ref="B7:C7"/>
    <mergeCell ref="E7:I7"/>
    <mergeCell ref="B8:C8"/>
    <mergeCell ref="E8:I8"/>
    <mergeCell ref="B9:C9"/>
    <mergeCell ref="E9:I9"/>
    <mergeCell ref="B10:C10"/>
    <mergeCell ref="E10:I10"/>
    <mergeCell ref="B24:C24"/>
    <mergeCell ref="E24:I24"/>
    <mergeCell ref="B11:C11"/>
    <mergeCell ref="E11:I11"/>
    <mergeCell ref="B12:I12"/>
    <mergeCell ref="A21:D21"/>
    <mergeCell ref="A22:D22"/>
    <mergeCell ref="E22:I22"/>
    <mergeCell ref="A23:D23"/>
    <mergeCell ref="E23:I23"/>
    <mergeCell ref="I14:I16"/>
    <mergeCell ref="B25:C25"/>
    <mergeCell ref="E25:I25"/>
    <mergeCell ref="B26:C26"/>
    <mergeCell ref="E26:I26"/>
    <mergeCell ref="B27:C27"/>
    <mergeCell ref="E27:I27"/>
    <mergeCell ref="A31:C31"/>
    <mergeCell ref="D31:I31"/>
    <mergeCell ref="A32:C32"/>
    <mergeCell ref="D32:I32"/>
    <mergeCell ref="B28:C28"/>
    <mergeCell ref="E28:I28"/>
    <mergeCell ref="B29:C29"/>
    <mergeCell ref="E29:I29"/>
    <mergeCell ref="A30:C30"/>
    <mergeCell ref="D30:I30"/>
  </mergeCells>
  <pageMargins left="0.26" right="0.23" top="0.32" bottom="0.28999999999999998" header="0.3" footer="0.3"/>
  <pageSetup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>
      <selection activeCell="C11" sqref="C11"/>
    </sheetView>
  </sheetViews>
  <sheetFormatPr defaultColWidth="14.453125" defaultRowHeight="15" customHeight="1" x14ac:dyDescent="0.35"/>
  <cols>
    <col min="1" max="1" width="12.36328125" customWidth="1"/>
    <col min="2" max="2" width="12.453125" customWidth="1"/>
    <col min="3" max="3" width="13.36328125" customWidth="1"/>
    <col min="4" max="4" width="12.453125" customWidth="1"/>
    <col min="5" max="5" width="14.453125" customWidth="1"/>
    <col min="6" max="6" width="20.6328125" customWidth="1"/>
    <col min="7" max="11" width="8" customWidth="1"/>
  </cols>
  <sheetData>
    <row r="1" spans="1:6" ht="21" customHeight="1" x14ac:dyDescent="0.35">
      <c r="A1" t="s">
        <v>21</v>
      </c>
    </row>
    <row r="2" spans="1:6" ht="45.75" customHeight="1" x14ac:dyDescent="0.35">
      <c r="A2" s="22" t="s">
        <v>22</v>
      </c>
      <c r="B2" s="22" t="s">
        <v>23</v>
      </c>
      <c r="C2" s="22" t="s">
        <v>24</v>
      </c>
      <c r="D2" s="22" t="s">
        <v>25</v>
      </c>
      <c r="E2" s="23" t="s">
        <v>26</v>
      </c>
      <c r="F2" s="23" t="s">
        <v>27</v>
      </c>
    </row>
    <row r="3" spans="1:6" ht="20.25" customHeight="1" x14ac:dyDescent="0.35">
      <c r="A3" s="5">
        <v>17421860</v>
      </c>
      <c r="B3" s="5">
        <f t="shared" ref="B3:B4" si="0">A3*10%</f>
        <v>1742186</v>
      </c>
      <c r="C3" s="5">
        <f t="shared" ref="C3:C4" si="1">A3+B3</f>
        <v>19164046</v>
      </c>
      <c r="D3" s="5">
        <v>27500000</v>
      </c>
      <c r="E3" s="24">
        <f>(D3-C3)/27500000</f>
        <v>0.3031256</v>
      </c>
      <c r="F3" s="25">
        <f>((D3-2750000)-C3)/24750000</f>
        <v>0.22569511111111112</v>
      </c>
    </row>
    <row r="4" spans="1:6" ht="19.5" customHeight="1" x14ac:dyDescent="0.35">
      <c r="A4" s="11">
        <v>21998225</v>
      </c>
      <c r="B4" s="5">
        <f t="shared" si="0"/>
        <v>2199822.5</v>
      </c>
      <c r="C4" s="5">
        <f t="shared" si="1"/>
        <v>24198047.5</v>
      </c>
      <c r="D4" s="11">
        <v>33500000</v>
      </c>
      <c r="E4" s="24">
        <f>(D4-C4)/30500000</f>
        <v>0.3049820491803279</v>
      </c>
      <c r="F4" s="25">
        <f>((D4-3350000)-C4)/30500000</f>
        <v>0.19514598360655738</v>
      </c>
    </row>
    <row r="5" spans="1:6" ht="20.25" customHeight="1" x14ac:dyDescent="0.35">
      <c r="A5" s="10"/>
      <c r="B5" s="10"/>
      <c r="C5" s="10"/>
      <c r="D5" s="11"/>
      <c r="E5" s="11"/>
      <c r="F5" s="26"/>
    </row>
    <row r="6" spans="1:6" ht="14.25" customHeight="1" x14ac:dyDescent="0.35">
      <c r="A6" t="s">
        <v>28</v>
      </c>
    </row>
    <row r="7" spans="1:6" ht="14.25" customHeight="1" x14ac:dyDescent="0.35"/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实际</vt:lpstr>
      <vt:lpstr>订单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tuyet</dc:creator>
  <cp:lastModifiedBy>Minh Công</cp:lastModifiedBy>
  <cp:lastPrinted>2026-07-16T08:58:45Z</cp:lastPrinted>
  <dcterms:created xsi:type="dcterms:W3CDTF">2014-01-14T03:37:47Z</dcterms:created>
  <dcterms:modified xsi:type="dcterms:W3CDTF">2026-10-07T08:12:05Z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